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partage\partage-rw\pinball\2021-dealerschoice\pinball\"/>
    </mc:Choice>
  </mc:AlternateContent>
  <xr:revisionPtr revIDLastSave="0" documentId="13_ncr:1_{509017C7-3195-40DF-9FCE-B94DB649066C}" xr6:coauthVersionLast="47" xr6:coauthVersionMax="47" xr10:uidLastSave="{00000000-0000-0000-0000-000000000000}"/>
  <bookViews>
    <workbookView xWindow="-108" yWindow="-108" windowWidth="23256" windowHeight="12576" tabRatio="909" firstSheet="3" activeTab="8" xr2:uid="{F1C08C0C-5CB3-419A-8A48-96EDA0599C78}"/>
  </bookViews>
  <sheets>
    <sheet name="Instructions" sheetId="14" r:id="rId1"/>
    <sheet name="Summary for wiring" sheetId="15" r:id="rId2"/>
    <sheet name="STM-card (1)" sheetId="10" r:id="rId3"/>
    <sheet name="STM-card (2)" sheetId="1" r:id="rId4"/>
    <sheet name="STM-card (3)" sheetId="4" r:id="rId5"/>
    <sheet name="STM-card (4)" sheetId="5" r:id="rId6"/>
    <sheet name="STM-card (5)" sheetId="6" r:id="rId7"/>
    <sheet name="STM-card (6)" sheetId="7" r:id="rId8"/>
    <sheet name="STM-card (7)" sheetId="8" r:id="rId9"/>
    <sheet name="STM-card (8)" sheetId="9" r:id="rId10"/>
    <sheet name="switches list" sheetId="3" r:id="rId11"/>
    <sheet name="coil list" sheetId="11" r:id="rId12"/>
    <sheet name="incandescent list" sheetId="12" r:id="rId13"/>
    <sheet name="LEDS list" sheetId="16" r:id="rId14"/>
  </sheets>
  <definedNames>
    <definedName name="_xlnm.Print_Titles" localSheetId="1">'Summary for wiring'!$1:$1</definedName>
    <definedName name="_xlnm.Print_Area" localSheetId="1">'Summary for wiring'!$A$1:$Q$75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2" i="16" l="1"/>
  <c r="D152" i="16"/>
  <c r="E151" i="16"/>
  <c r="D151" i="16"/>
  <c r="E150" i="16"/>
  <c r="D150" i="16"/>
  <c r="E149" i="16"/>
  <c r="D149" i="16"/>
  <c r="E148" i="16"/>
  <c r="D148" i="16"/>
  <c r="E147" i="16"/>
  <c r="D147" i="16"/>
  <c r="E146" i="16"/>
  <c r="D146" i="16"/>
  <c r="E145" i="16"/>
  <c r="D145" i="16"/>
  <c r="E144" i="16"/>
  <c r="D144" i="16"/>
  <c r="E143" i="16"/>
  <c r="D143" i="16"/>
  <c r="E142" i="16"/>
  <c r="D142" i="16"/>
  <c r="E141" i="16"/>
  <c r="D141" i="16"/>
  <c r="E140" i="16"/>
  <c r="D140" i="16"/>
  <c r="E139" i="16"/>
  <c r="D139" i="16"/>
  <c r="E138" i="16"/>
  <c r="D138" i="16"/>
  <c r="E137" i="16"/>
  <c r="D137" i="16"/>
  <c r="E136" i="16"/>
  <c r="D136" i="16"/>
  <c r="E135" i="16"/>
  <c r="D135" i="16"/>
  <c r="E134" i="16"/>
  <c r="D134" i="16"/>
  <c r="E133" i="16"/>
  <c r="D133" i="16"/>
  <c r="E132" i="16"/>
  <c r="D132" i="16"/>
  <c r="E131" i="16"/>
  <c r="D131" i="16"/>
  <c r="E130" i="16"/>
  <c r="D130" i="16"/>
  <c r="E129" i="16"/>
  <c r="D129" i="16"/>
  <c r="E128" i="16"/>
  <c r="D128" i="16"/>
  <c r="E127" i="16"/>
  <c r="D127" i="16"/>
  <c r="E126" i="16"/>
  <c r="D126" i="16"/>
  <c r="E125" i="16"/>
  <c r="D125" i="16"/>
  <c r="E124" i="16"/>
  <c r="D124" i="16"/>
  <c r="E123" i="16"/>
  <c r="D123" i="16"/>
  <c r="E122" i="16"/>
  <c r="D122" i="16"/>
  <c r="E121" i="16"/>
  <c r="D121" i="16"/>
  <c r="E120" i="16"/>
  <c r="D120" i="16"/>
  <c r="E119" i="16"/>
  <c r="D119" i="16"/>
  <c r="E118" i="16"/>
  <c r="D118" i="16"/>
  <c r="E117" i="16"/>
  <c r="D117" i="16"/>
  <c r="E116" i="16"/>
  <c r="D116" i="16"/>
  <c r="E115" i="16"/>
  <c r="D115" i="16"/>
  <c r="E114" i="16"/>
  <c r="D114" i="16"/>
  <c r="E113" i="16"/>
  <c r="D113" i="16"/>
  <c r="E112" i="16"/>
  <c r="D112" i="16"/>
  <c r="E111" i="16"/>
  <c r="D111" i="16"/>
  <c r="E110" i="16"/>
  <c r="D110" i="16"/>
  <c r="E109" i="16"/>
  <c r="D109" i="16"/>
  <c r="E108" i="16"/>
  <c r="D108" i="16"/>
  <c r="E107" i="16"/>
  <c r="D107" i="16"/>
  <c r="E106" i="16"/>
  <c r="D106" i="16"/>
  <c r="E105" i="16"/>
  <c r="D105" i="16"/>
  <c r="E104" i="16"/>
  <c r="D104" i="16"/>
  <c r="E103" i="16"/>
  <c r="D103" i="16"/>
  <c r="E102" i="16"/>
  <c r="D102" i="16"/>
  <c r="E101" i="16"/>
  <c r="D101" i="16"/>
  <c r="E100" i="16"/>
  <c r="D100" i="16"/>
  <c r="E99" i="16"/>
  <c r="D99" i="16"/>
  <c r="E98" i="16"/>
  <c r="D98" i="16"/>
  <c r="E97" i="16"/>
  <c r="D97" i="16"/>
  <c r="E96" i="16"/>
  <c r="D96" i="16"/>
  <c r="E95" i="16"/>
  <c r="D95" i="16"/>
  <c r="E94" i="16"/>
  <c r="D94" i="16"/>
  <c r="E93" i="16"/>
  <c r="D93" i="16"/>
  <c r="E92" i="16"/>
  <c r="D92" i="16"/>
  <c r="E91" i="16"/>
  <c r="D91" i="16"/>
  <c r="E90" i="16"/>
  <c r="D90" i="16"/>
  <c r="E89" i="16"/>
  <c r="D89" i="16"/>
  <c r="E88" i="16"/>
  <c r="D88" i="16"/>
  <c r="E87" i="16"/>
  <c r="D87" i="16"/>
  <c r="E86" i="16"/>
  <c r="D86" i="16"/>
  <c r="E85" i="16"/>
  <c r="D85" i="16"/>
  <c r="E84" i="16"/>
  <c r="D84" i="16"/>
  <c r="E83" i="16"/>
  <c r="D83" i="16"/>
  <c r="E82" i="16"/>
  <c r="D82" i="16"/>
  <c r="E81" i="16"/>
  <c r="D81" i="16"/>
  <c r="E80" i="16"/>
  <c r="D80" i="16"/>
  <c r="E79" i="16"/>
  <c r="D79" i="16"/>
  <c r="E78" i="16"/>
  <c r="D78" i="16"/>
  <c r="E77" i="16"/>
  <c r="D77" i="16"/>
  <c r="E76" i="16"/>
  <c r="D76" i="16"/>
  <c r="E75" i="16"/>
  <c r="D75" i="16"/>
  <c r="E74" i="16"/>
  <c r="D74" i="16"/>
  <c r="E73" i="16"/>
  <c r="D73" i="16"/>
  <c r="E72" i="16"/>
  <c r="D72" i="16"/>
  <c r="E71" i="16"/>
  <c r="D71" i="16"/>
  <c r="E70" i="16"/>
  <c r="D70" i="16"/>
  <c r="E69" i="16"/>
  <c r="D69" i="16"/>
  <c r="E68" i="16"/>
  <c r="D68" i="16"/>
  <c r="E67" i="16"/>
  <c r="D67" i="16"/>
  <c r="E66" i="16"/>
  <c r="D66" i="16"/>
  <c r="E65" i="16"/>
  <c r="D65" i="16"/>
  <c r="E64" i="16"/>
  <c r="D64" i="16"/>
  <c r="E63" i="16"/>
  <c r="D63" i="16"/>
  <c r="E62" i="16"/>
  <c r="D62" i="16"/>
  <c r="E61" i="16"/>
  <c r="D61" i="16"/>
  <c r="E60" i="16"/>
  <c r="D60" i="16"/>
  <c r="E59" i="16"/>
  <c r="D59" i="16"/>
  <c r="E58" i="16"/>
  <c r="D58" i="16"/>
  <c r="E57" i="16"/>
  <c r="D57" i="16"/>
  <c r="E56" i="16"/>
  <c r="D56" i="16"/>
  <c r="E55" i="16"/>
  <c r="D55" i="16"/>
  <c r="E54" i="16"/>
  <c r="D54" i="16"/>
  <c r="E53" i="16"/>
  <c r="D53" i="16"/>
  <c r="E52" i="16"/>
  <c r="D52" i="16"/>
  <c r="E51" i="16"/>
  <c r="D51" i="16"/>
  <c r="E50" i="16"/>
  <c r="D50" i="16"/>
  <c r="E49" i="16"/>
  <c r="D49" i="16"/>
  <c r="E48" i="16"/>
  <c r="D48" i="16"/>
  <c r="E47" i="16"/>
  <c r="D47" i="16"/>
  <c r="E46" i="16"/>
  <c r="D46" i="16"/>
  <c r="E45" i="16"/>
  <c r="D45" i="16"/>
  <c r="E44" i="16"/>
  <c r="D44" i="16"/>
  <c r="E43" i="16"/>
  <c r="D43" i="16"/>
  <c r="E42" i="16"/>
  <c r="D42" i="16"/>
  <c r="E41" i="16"/>
  <c r="D41" i="16"/>
  <c r="E40" i="16"/>
  <c r="D40" i="16"/>
  <c r="E39" i="16"/>
  <c r="D39" i="16"/>
  <c r="E38" i="16"/>
  <c r="D38" i="16"/>
  <c r="E37" i="16"/>
  <c r="D37" i="16"/>
  <c r="E36" i="16"/>
  <c r="D36" i="16"/>
  <c r="E35" i="16"/>
  <c r="D35" i="16"/>
  <c r="E34" i="16"/>
  <c r="D34" i="16"/>
  <c r="E33" i="16"/>
  <c r="D33" i="16"/>
  <c r="E32" i="16"/>
  <c r="D32" i="16"/>
  <c r="E31" i="16"/>
  <c r="D31" i="16"/>
  <c r="E30" i="16"/>
  <c r="D30" i="16"/>
  <c r="E29" i="16"/>
  <c r="D29" i="16"/>
  <c r="E28" i="16"/>
  <c r="D28" i="16"/>
  <c r="E27" i="16"/>
  <c r="D27" i="16"/>
  <c r="E26" i="16"/>
  <c r="D26" i="16"/>
  <c r="E25" i="16"/>
  <c r="D25" i="16"/>
  <c r="E24" i="16"/>
  <c r="D24" i="16"/>
  <c r="E23" i="16"/>
  <c r="D23" i="16"/>
  <c r="E22" i="16"/>
  <c r="D22" i="16"/>
  <c r="E21" i="16"/>
  <c r="D21" i="16"/>
  <c r="E20" i="16"/>
  <c r="D20" i="16"/>
  <c r="E19" i="16"/>
  <c r="D19" i="16"/>
  <c r="E18" i="16"/>
  <c r="D18" i="16"/>
  <c r="E17" i="16"/>
  <c r="D17" i="16"/>
  <c r="E16" i="16"/>
  <c r="D16" i="16"/>
  <c r="E15" i="16"/>
  <c r="D15" i="16"/>
  <c r="E14" i="16"/>
  <c r="D14" i="16"/>
  <c r="E13" i="16"/>
  <c r="D13" i="16"/>
  <c r="E12" i="16"/>
  <c r="D12" i="16"/>
  <c r="E11" i="16"/>
  <c r="D11" i="16"/>
  <c r="E10" i="16"/>
  <c r="D10" i="16"/>
  <c r="E9" i="16"/>
  <c r="D9" i="16"/>
  <c r="E8" i="16"/>
  <c r="D8" i="16"/>
  <c r="E7" i="16"/>
  <c r="D7" i="16"/>
  <c r="E6" i="16"/>
  <c r="D6" i="16"/>
  <c r="E5" i="16"/>
  <c r="D5" i="16"/>
  <c r="E4" i="16"/>
  <c r="D4" i="16"/>
  <c r="E3" i="16"/>
  <c r="D3" i="16"/>
  <c r="D21" i="9"/>
  <c r="H17" i="9"/>
  <c r="H7" i="9"/>
  <c r="D4" i="9"/>
  <c r="D21" i="8"/>
  <c r="H17" i="8"/>
  <c r="H7" i="8"/>
  <c r="D4" i="8"/>
  <c r="D21" i="7"/>
  <c r="H17" i="7"/>
  <c r="H7" i="7"/>
  <c r="D4" i="7"/>
  <c r="D21" i="6"/>
  <c r="H17" i="6"/>
  <c r="H7" i="6"/>
  <c r="D4" i="6"/>
  <c r="D21" i="5"/>
  <c r="H17" i="5"/>
  <c r="H7" i="5"/>
  <c r="D4" i="5"/>
  <c r="H17" i="4"/>
  <c r="H7" i="4"/>
  <c r="D21" i="4"/>
  <c r="D4" i="4"/>
  <c r="H7" i="10"/>
  <c r="H7" i="1"/>
  <c r="H17" i="1"/>
  <c r="D21" i="1"/>
  <c r="D4" i="1"/>
  <c r="H17" i="10"/>
  <c r="D21" i="10"/>
  <c r="D4" i="10"/>
  <c r="H502" i="16" l="1"/>
  <c r="G502" i="16"/>
  <c r="H500" i="16"/>
  <c r="G500" i="16"/>
  <c r="H498" i="16"/>
  <c r="G498" i="16"/>
  <c r="H496" i="16"/>
  <c r="G496" i="16"/>
  <c r="H493" i="16"/>
  <c r="G493" i="16"/>
  <c r="H492" i="16"/>
  <c r="G492" i="16"/>
  <c r="H490" i="16"/>
  <c r="G490" i="16"/>
  <c r="H488" i="16"/>
  <c r="G488" i="16"/>
  <c r="H486" i="16"/>
  <c r="G486" i="16"/>
  <c r="H483" i="16"/>
  <c r="G483" i="16"/>
  <c r="H482" i="16"/>
  <c r="G482" i="16"/>
  <c r="H480" i="16"/>
  <c r="G480" i="16"/>
  <c r="H478" i="16"/>
  <c r="G478" i="16"/>
  <c r="H476" i="16"/>
  <c r="G476" i="16"/>
  <c r="H473" i="16"/>
  <c r="G473" i="16"/>
  <c r="H472" i="16"/>
  <c r="G472" i="16"/>
  <c r="H470" i="16"/>
  <c r="G470" i="16"/>
  <c r="H468" i="16"/>
  <c r="G468" i="16"/>
  <c r="H466" i="16"/>
  <c r="G466" i="16"/>
  <c r="H463" i="16"/>
  <c r="G463" i="16"/>
  <c r="H462" i="16"/>
  <c r="G462" i="16"/>
  <c r="H460" i="16"/>
  <c r="G460" i="16"/>
  <c r="H458" i="16"/>
  <c r="G458" i="16"/>
  <c r="H456" i="16"/>
  <c r="G456" i="16"/>
  <c r="H453" i="16"/>
  <c r="G453" i="16"/>
  <c r="H452" i="16"/>
  <c r="G452" i="16"/>
  <c r="H450" i="16"/>
  <c r="G450" i="16"/>
  <c r="H448" i="16"/>
  <c r="G448" i="16"/>
  <c r="H446" i="16"/>
  <c r="G446" i="16"/>
  <c r="H443" i="16"/>
  <c r="G443" i="16"/>
  <c r="H442" i="16"/>
  <c r="G442" i="16"/>
  <c r="H440" i="16"/>
  <c r="G440" i="16"/>
  <c r="H438" i="16"/>
  <c r="G438" i="16"/>
  <c r="H436" i="16"/>
  <c r="G436" i="16"/>
  <c r="H433" i="16"/>
  <c r="G433" i="16"/>
  <c r="H432" i="16"/>
  <c r="G432" i="16"/>
  <c r="H430" i="16"/>
  <c r="G430" i="16"/>
  <c r="H428" i="16"/>
  <c r="G428" i="16"/>
  <c r="H426" i="16"/>
  <c r="G426" i="16"/>
  <c r="H423" i="16"/>
  <c r="G423" i="16"/>
  <c r="H422" i="16"/>
  <c r="G422" i="16"/>
  <c r="H420" i="16"/>
  <c r="G420" i="16"/>
  <c r="H418" i="16"/>
  <c r="G418" i="16"/>
  <c r="H416" i="16"/>
  <c r="G416" i="16"/>
  <c r="H413" i="16"/>
  <c r="G413" i="16"/>
  <c r="H412" i="16"/>
  <c r="G412" i="16"/>
  <c r="H410" i="16"/>
  <c r="G410" i="16"/>
  <c r="H408" i="16"/>
  <c r="G408" i="16"/>
  <c r="H406" i="16"/>
  <c r="G406" i="16"/>
  <c r="H403" i="16"/>
  <c r="G403" i="16"/>
  <c r="H402" i="16"/>
  <c r="G402" i="16"/>
  <c r="H400" i="16"/>
  <c r="G400" i="16"/>
  <c r="H398" i="16"/>
  <c r="G398" i="16"/>
  <c r="H396" i="16"/>
  <c r="G396" i="16"/>
  <c r="H393" i="16"/>
  <c r="G393" i="16"/>
  <c r="H392" i="16"/>
  <c r="G392" i="16"/>
  <c r="H390" i="16"/>
  <c r="G390" i="16"/>
  <c r="H388" i="16"/>
  <c r="G388" i="16"/>
  <c r="H386" i="16"/>
  <c r="G386" i="16"/>
  <c r="H383" i="16"/>
  <c r="G383" i="16"/>
  <c r="H382" i="16"/>
  <c r="G382" i="16"/>
  <c r="H380" i="16"/>
  <c r="G380" i="16"/>
  <c r="H378" i="16"/>
  <c r="G378" i="16"/>
  <c r="H376" i="16"/>
  <c r="G376" i="16"/>
  <c r="H373" i="16"/>
  <c r="G373" i="16"/>
  <c r="H372" i="16"/>
  <c r="G372" i="16"/>
  <c r="H370" i="16"/>
  <c r="G370" i="16"/>
  <c r="H368" i="16"/>
  <c r="G368" i="16"/>
  <c r="H366" i="16"/>
  <c r="G366" i="16"/>
  <c r="H363" i="16"/>
  <c r="G363" i="16"/>
  <c r="H362" i="16"/>
  <c r="G362" i="16"/>
  <c r="H360" i="16"/>
  <c r="G360" i="16"/>
  <c r="H358" i="16"/>
  <c r="G358" i="16"/>
  <c r="H356" i="16"/>
  <c r="G356" i="16"/>
  <c r="H353" i="16"/>
  <c r="G353" i="16"/>
  <c r="H352" i="16"/>
  <c r="G352" i="16"/>
  <c r="H350" i="16"/>
  <c r="G350" i="16"/>
  <c r="H348" i="16"/>
  <c r="G348" i="16"/>
  <c r="H346" i="16"/>
  <c r="G346" i="16"/>
  <c r="H343" i="16"/>
  <c r="G343" i="16"/>
  <c r="H342" i="16"/>
  <c r="G342" i="16"/>
  <c r="H340" i="16"/>
  <c r="G340" i="16"/>
  <c r="H338" i="16"/>
  <c r="G338" i="16"/>
  <c r="H336" i="16"/>
  <c r="G336" i="16"/>
  <c r="H333" i="16"/>
  <c r="G333" i="16"/>
  <c r="H332" i="16"/>
  <c r="G332" i="16"/>
  <c r="H330" i="16"/>
  <c r="G330" i="16"/>
  <c r="H328" i="16"/>
  <c r="G328" i="16"/>
  <c r="H326" i="16"/>
  <c r="G326" i="16"/>
  <c r="H323" i="16"/>
  <c r="G323" i="16"/>
  <c r="H322" i="16"/>
  <c r="G322" i="16"/>
  <c r="H320" i="16"/>
  <c r="G320" i="16"/>
  <c r="H318" i="16"/>
  <c r="G318" i="16"/>
  <c r="H316" i="16"/>
  <c r="G316" i="16"/>
  <c r="H313" i="16"/>
  <c r="G313" i="16"/>
  <c r="H312" i="16"/>
  <c r="G312" i="16"/>
  <c r="H310" i="16"/>
  <c r="G310" i="16"/>
  <c r="H308" i="16"/>
  <c r="G308" i="16"/>
  <c r="H306" i="16"/>
  <c r="G306" i="16"/>
  <c r="H303" i="16"/>
  <c r="G303" i="16"/>
  <c r="H302" i="16"/>
  <c r="G302" i="16"/>
  <c r="H300" i="16"/>
  <c r="G300" i="16"/>
  <c r="H298" i="16"/>
  <c r="G298" i="16"/>
  <c r="H296" i="16"/>
  <c r="G296" i="16"/>
  <c r="H293" i="16"/>
  <c r="G293" i="16"/>
  <c r="H292" i="16"/>
  <c r="G292" i="16"/>
  <c r="H290" i="16"/>
  <c r="G290" i="16"/>
  <c r="H288" i="16"/>
  <c r="G288" i="16"/>
  <c r="H286" i="16"/>
  <c r="G286" i="16"/>
  <c r="H283" i="16"/>
  <c r="G283" i="16"/>
  <c r="H282" i="16"/>
  <c r="G282" i="16"/>
  <c r="H280" i="16"/>
  <c r="G280" i="16"/>
  <c r="H278" i="16"/>
  <c r="G278" i="16"/>
  <c r="H276" i="16"/>
  <c r="G276" i="16"/>
  <c r="H273" i="16"/>
  <c r="G273" i="16"/>
  <c r="H272" i="16"/>
  <c r="G272" i="16"/>
  <c r="H270" i="16"/>
  <c r="G270" i="16"/>
  <c r="H268" i="16"/>
  <c r="G268" i="16"/>
  <c r="H266" i="16"/>
  <c r="G266" i="16"/>
  <c r="H263" i="16"/>
  <c r="G263" i="16"/>
  <c r="H262" i="16"/>
  <c r="G262" i="16"/>
  <c r="H260" i="16"/>
  <c r="G260" i="16"/>
  <c r="H258" i="16"/>
  <c r="G258" i="16"/>
  <c r="H256" i="16"/>
  <c r="G256" i="16"/>
  <c r="H253" i="16"/>
  <c r="G253" i="16"/>
  <c r="H252" i="16"/>
  <c r="G252" i="16"/>
  <c r="H250" i="16"/>
  <c r="G250" i="16"/>
  <c r="H248" i="16"/>
  <c r="G248" i="16"/>
  <c r="H246" i="16"/>
  <c r="G246" i="16"/>
  <c r="H243" i="16"/>
  <c r="G243" i="16"/>
  <c r="H242" i="16"/>
  <c r="G242" i="16"/>
  <c r="H240" i="16"/>
  <c r="G240" i="16"/>
  <c r="H238" i="16"/>
  <c r="G238" i="16"/>
  <c r="H236" i="16"/>
  <c r="G236" i="16"/>
  <c r="H233" i="16"/>
  <c r="G233" i="16"/>
  <c r="H232" i="16"/>
  <c r="G232" i="16"/>
  <c r="H230" i="16"/>
  <c r="G230" i="16"/>
  <c r="H228" i="16"/>
  <c r="G228" i="16"/>
  <c r="H226" i="16"/>
  <c r="G226" i="16"/>
  <c r="H223" i="16"/>
  <c r="G223" i="16"/>
  <c r="H222" i="16"/>
  <c r="G222" i="16"/>
  <c r="H220" i="16"/>
  <c r="G220" i="16"/>
  <c r="H218" i="16"/>
  <c r="G218" i="16"/>
  <c r="H216" i="16"/>
  <c r="G216" i="16"/>
  <c r="H213" i="16"/>
  <c r="G213" i="16"/>
  <c r="H212" i="16"/>
  <c r="G212" i="16"/>
  <c r="H210" i="16"/>
  <c r="G210" i="16"/>
  <c r="H208" i="16"/>
  <c r="G208" i="16"/>
  <c r="H206" i="16"/>
  <c r="G206" i="16"/>
  <c r="H203" i="16"/>
  <c r="G203" i="16"/>
  <c r="H202" i="16"/>
  <c r="G202" i="16"/>
  <c r="H200" i="16"/>
  <c r="G200" i="16"/>
  <c r="H198" i="16"/>
  <c r="G198" i="16"/>
  <c r="H196" i="16"/>
  <c r="G196" i="16"/>
  <c r="H193" i="16"/>
  <c r="G193" i="16"/>
  <c r="H192" i="16"/>
  <c r="G192" i="16"/>
  <c r="H190" i="16"/>
  <c r="G190" i="16"/>
  <c r="H188" i="16"/>
  <c r="G188" i="16"/>
  <c r="H186" i="16"/>
  <c r="G186" i="16"/>
  <c r="H183" i="16"/>
  <c r="G183" i="16"/>
  <c r="H182" i="16"/>
  <c r="G182" i="16"/>
  <c r="H180" i="16"/>
  <c r="G180" i="16"/>
  <c r="H178" i="16"/>
  <c r="G178" i="16"/>
  <c r="H176" i="16"/>
  <c r="G176" i="16"/>
  <c r="H173" i="16"/>
  <c r="G173" i="16"/>
  <c r="H172" i="16"/>
  <c r="G172" i="16"/>
  <c r="H170" i="16"/>
  <c r="G170" i="16"/>
  <c r="H168" i="16"/>
  <c r="G168" i="16"/>
  <c r="H166" i="16"/>
  <c r="G166" i="16"/>
  <c r="H163" i="16"/>
  <c r="G163" i="16"/>
  <c r="H162" i="16"/>
  <c r="G162" i="16"/>
  <c r="H160" i="16"/>
  <c r="G160" i="16"/>
  <c r="H158" i="16"/>
  <c r="G158" i="16"/>
  <c r="H156" i="16"/>
  <c r="G156" i="16"/>
  <c r="H153" i="16"/>
  <c r="G153" i="16"/>
  <c r="H152" i="16"/>
  <c r="G152" i="16"/>
  <c r="H150" i="16"/>
  <c r="G150" i="16"/>
  <c r="H148" i="16"/>
  <c r="G148" i="16"/>
  <c r="H146" i="16"/>
  <c r="G146" i="16"/>
  <c r="H143" i="16"/>
  <c r="G143" i="16"/>
  <c r="H142" i="16"/>
  <c r="G142" i="16"/>
  <c r="H140" i="16"/>
  <c r="G140" i="16"/>
  <c r="H138" i="16"/>
  <c r="G138" i="16"/>
  <c r="H136" i="16"/>
  <c r="G136" i="16"/>
  <c r="H133" i="16"/>
  <c r="G133" i="16"/>
  <c r="H132" i="16"/>
  <c r="G132" i="16"/>
  <c r="H130" i="16"/>
  <c r="G130" i="16"/>
  <c r="H128" i="16"/>
  <c r="G128" i="16"/>
  <c r="H126" i="16"/>
  <c r="G126" i="16"/>
  <c r="H123" i="16"/>
  <c r="G123" i="16"/>
  <c r="H122" i="16"/>
  <c r="G122" i="16"/>
  <c r="H120" i="16"/>
  <c r="G120" i="16"/>
  <c r="H118" i="16"/>
  <c r="G118" i="16"/>
  <c r="H116" i="16"/>
  <c r="G116" i="16"/>
  <c r="H113" i="16"/>
  <c r="G113" i="16"/>
  <c r="H112" i="16"/>
  <c r="G112" i="16"/>
  <c r="H110" i="16"/>
  <c r="G110" i="16"/>
  <c r="H108" i="16"/>
  <c r="G108" i="16"/>
  <c r="H106" i="16"/>
  <c r="G106" i="16"/>
  <c r="H103" i="16"/>
  <c r="G103" i="16"/>
  <c r="H102" i="16"/>
  <c r="G102" i="16"/>
  <c r="H100" i="16"/>
  <c r="G100" i="16"/>
  <c r="H98" i="16"/>
  <c r="G98" i="16"/>
  <c r="H96" i="16"/>
  <c r="G96" i="16"/>
  <c r="H93" i="16"/>
  <c r="G93" i="16"/>
  <c r="H92" i="16"/>
  <c r="G92" i="16"/>
  <c r="H90" i="16"/>
  <c r="G90" i="16"/>
  <c r="H88" i="16"/>
  <c r="G88" i="16"/>
  <c r="H86" i="16"/>
  <c r="G86" i="16"/>
  <c r="H83" i="16"/>
  <c r="G83" i="16"/>
  <c r="H82" i="16"/>
  <c r="G82" i="16"/>
  <c r="H80" i="16"/>
  <c r="G80" i="16"/>
  <c r="H78" i="16"/>
  <c r="G78" i="16"/>
  <c r="H76" i="16"/>
  <c r="G76" i="16"/>
  <c r="H73" i="16"/>
  <c r="G73" i="16"/>
  <c r="H72" i="16"/>
  <c r="G72" i="16"/>
  <c r="H70" i="16"/>
  <c r="G70" i="16"/>
  <c r="H68" i="16"/>
  <c r="G68" i="16"/>
  <c r="H66" i="16"/>
  <c r="G66" i="16"/>
  <c r="H63" i="16"/>
  <c r="G63" i="16"/>
  <c r="H62" i="16"/>
  <c r="G62" i="16"/>
  <c r="H60" i="16"/>
  <c r="G60" i="16"/>
  <c r="H58" i="16"/>
  <c r="G58" i="16"/>
  <c r="H56" i="16"/>
  <c r="G56" i="16"/>
  <c r="H53" i="16"/>
  <c r="G53" i="16"/>
  <c r="H52" i="16"/>
  <c r="G52" i="16"/>
  <c r="H50" i="16"/>
  <c r="G50" i="16"/>
  <c r="H48" i="16"/>
  <c r="G48" i="16"/>
  <c r="H46" i="16"/>
  <c r="G46" i="16"/>
  <c r="H43" i="16"/>
  <c r="G43" i="16"/>
  <c r="H42" i="16"/>
  <c r="G42" i="16"/>
  <c r="H40" i="16"/>
  <c r="G40" i="16"/>
  <c r="H38" i="16"/>
  <c r="G38" i="16"/>
  <c r="H36" i="16"/>
  <c r="G36" i="16"/>
  <c r="H33" i="16"/>
  <c r="G33" i="16"/>
  <c r="H32" i="16"/>
  <c r="G32" i="16"/>
  <c r="H30" i="16"/>
  <c r="G30" i="16"/>
  <c r="H28" i="16"/>
  <c r="G28" i="16"/>
  <c r="H26" i="16"/>
  <c r="G26" i="16"/>
  <c r="H23" i="16"/>
  <c r="G23" i="16"/>
  <c r="H22" i="16"/>
  <c r="G22" i="16"/>
  <c r="H20" i="16"/>
  <c r="G20" i="16"/>
  <c r="H18" i="16"/>
  <c r="G18" i="16"/>
  <c r="H16" i="16"/>
  <c r="G16" i="16"/>
  <c r="H13" i="16"/>
  <c r="G13" i="16"/>
  <c r="H12" i="16"/>
  <c r="G12" i="16"/>
  <c r="H10" i="16"/>
  <c r="G10" i="16"/>
  <c r="H8" i="16"/>
  <c r="G8" i="16"/>
  <c r="H6" i="16"/>
  <c r="G6" i="16"/>
  <c r="H3" i="16"/>
  <c r="G3" i="16"/>
  <c r="I492" i="16" l="1"/>
  <c r="I502" i="16" s="1"/>
  <c r="I490" i="16"/>
  <c r="I500" i="16" s="1"/>
  <c r="I488" i="16"/>
  <c r="I498" i="16" s="1"/>
  <c r="I486" i="16"/>
  <c r="I496" i="16" s="1"/>
  <c r="I262" i="16"/>
  <c r="I272" i="16" s="1"/>
  <c r="I282" i="16" s="1"/>
  <c r="I292" i="16" s="1"/>
  <c r="I302" i="16" s="1"/>
  <c r="I312" i="16" s="1"/>
  <c r="I322" i="16" s="1"/>
  <c r="I332" i="16" s="1"/>
  <c r="I342" i="16" s="1"/>
  <c r="I352" i="16" s="1"/>
  <c r="I362" i="16" s="1"/>
  <c r="I372" i="16" s="1"/>
  <c r="I382" i="16" s="1"/>
  <c r="I392" i="16" s="1"/>
  <c r="I402" i="16" s="1"/>
  <c r="I412" i="16" s="1"/>
  <c r="I422" i="16" s="1"/>
  <c r="I432" i="16" s="1"/>
  <c r="I442" i="16" s="1"/>
  <c r="I452" i="16" s="1"/>
  <c r="I462" i="16" s="1"/>
  <c r="I472" i="16" s="1"/>
  <c r="I482" i="16" s="1"/>
  <c r="I260" i="16"/>
  <c r="I270" i="16" s="1"/>
  <c r="I280" i="16" s="1"/>
  <c r="I290" i="16" s="1"/>
  <c r="I300" i="16" s="1"/>
  <c r="I310" i="16" s="1"/>
  <c r="I320" i="16" s="1"/>
  <c r="I330" i="16" s="1"/>
  <c r="I340" i="16" s="1"/>
  <c r="I350" i="16" s="1"/>
  <c r="I360" i="16" s="1"/>
  <c r="I370" i="16" s="1"/>
  <c r="I380" i="16" s="1"/>
  <c r="I390" i="16" s="1"/>
  <c r="I400" i="16" s="1"/>
  <c r="I410" i="16" s="1"/>
  <c r="I420" i="16" s="1"/>
  <c r="I430" i="16" s="1"/>
  <c r="I440" i="16" s="1"/>
  <c r="I450" i="16" s="1"/>
  <c r="I460" i="16" s="1"/>
  <c r="I470" i="16" s="1"/>
  <c r="I480" i="16" s="1"/>
  <c r="I258" i="16"/>
  <c r="I268" i="16" s="1"/>
  <c r="I278" i="16" s="1"/>
  <c r="I288" i="16" s="1"/>
  <c r="I298" i="16" s="1"/>
  <c r="I308" i="16" s="1"/>
  <c r="I318" i="16" s="1"/>
  <c r="I328" i="16" s="1"/>
  <c r="I338" i="16" s="1"/>
  <c r="I348" i="16" s="1"/>
  <c r="I358" i="16" s="1"/>
  <c r="I368" i="16" s="1"/>
  <c r="I378" i="16" s="1"/>
  <c r="I388" i="16" s="1"/>
  <c r="I398" i="16" s="1"/>
  <c r="I408" i="16" s="1"/>
  <c r="I418" i="16" s="1"/>
  <c r="I428" i="16" s="1"/>
  <c r="I438" i="16" s="1"/>
  <c r="I448" i="16" s="1"/>
  <c r="I458" i="16" s="1"/>
  <c r="I468" i="16" s="1"/>
  <c r="I478" i="16" s="1"/>
  <c r="I256" i="16"/>
  <c r="I266" i="16" s="1"/>
  <c r="I276" i="16" s="1"/>
  <c r="I286" i="16" s="1"/>
  <c r="I296" i="16" s="1"/>
  <c r="I306" i="16" s="1"/>
  <c r="I316" i="16" s="1"/>
  <c r="I326" i="16" s="1"/>
  <c r="I336" i="16" s="1"/>
  <c r="I346" i="16" s="1"/>
  <c r="I356" i="16" s="1"/>
  <c r="I366" i="16" s="1"/>
  <c r="I376" i="16" s="1"/>
  <c r="I386" i="16" s="1"/>
  <c r="I396" i="16" s="1"/>
  <c r="I406" i="16" s="1"/>
  <c r="I416" i="16" s="1"/>
  <c r="I426" i="16" s="1"/>
  <c r="I436" i="16" s="1"/>
  <c r="I446" i="16" s="1"/>
  <c r="I456" i="16" s="1"/>
  <c r="I466" i="16" s="1"/>
  <c r="I476" i="16" s="1"/>
  <c r="I252" i="16"/>
  <c r="I250" i="16"/>
  <c r="I248" i="16"/>
  <c r="I246" i="16"/>
  <c r="I242" i="16"/>
  <c r="I240" i="16"/>
  <c r="I238" i="16"/>
  <c r="I236" i="16"/>
  <c r="I232" i="16"/>
  <c r="I230" i="16"/>
  <c r="I228" i="16"/>
  <c r="I226" i="16"/>
  <c r="I222" i="16"/>
  <c r="I220" i="16"/>
  <c r="I218" i="16"/>
  <c r="I216" i="16"/>
  <c r="I212" i="16"/>
  <c r="I210" i="16"/>
  <c r="I208" i="16"/>
  <c r="I206" i="16"/>
  <c r="I202" i="16"/>
  <c r="I200" i="16"/>
  <c r="I198" i="16"/>
  <c r="I196" i="16"/>
  <c r="I192" i="16"/>
  <c r="I190" i="16"/>
  <c r="I188" i="16"/>
  <c r="I186" i="16"/>
  <c r="I182" i="16"/>
  <c r="I180" i="16"/>
  <c r="I178" i="16"/>
  <c r="I176" i="16"/>
  <c r="I172" i="16"/>
  <c r="I170" i="16"/>
  <c r="I168" i="16"/>
  <c r="I166" i="16"/>
  <c r="I162" i="16"/>
  <c r="I160" i="16"/>
  <c r="I158" i="16"/>
  <c r="I156" i="16"/>
  <c r="I152" i="16"/>
  <c r="I150" i="16"/>
  <c r="I148" i="16"/>
  <c r="I146" i="16"/>
  <c r="I142" i="16"/>
  <c r="I140" i="16"/>
  <c r="I138" i="16"/>
  <c r="I136" i="16"/>
  <c r="I132" i="16"/>
  <c r="I130" i="16"/>
  <c r="I128" i="16"/>
  <c r="I126" i="16"/>
  <c r="I122" i="16"/>
  <c r="I120" i="16"/>
  <c r="I118" i="16"/>
  <c r="I116" i="16"/>
  <c r="I112" i="16"/>
  <c r="I110" i="16"/>
  <c r="I108" i="16"/>
  <c r="I106" i="16"/>
  <c r="I102" i="16"/>
  <c r="I100" i="16"/>
  <c r="I98" i="16"/>
  <c r="I96" i="16"/>
  <c r="I92" i="16"/>
  <c r="I90" i="16"/>
  <c r="I88" i="16"/>
  <c r="I86" i="16"/>
  <c r="I82" i="16"/>
  <c r="I80" i="16"/>
  <c r="I78" i="16"/>
  <c r="I76" i="16"/>
  <c r="I72" i="16"/>
  <c r="I70" i="16"/>
  <c r="I68" i="16"/>
  <c r="I66" i="16"/>
  <c r="I62" i="16"/>
  <c r="I60" i="16"/>
  <c r="I58" i="16"/>
  <c r="I56" i="16"/>
  <c r="I52" i="16"/>
  <c r="I50" i="16"/>
  <c r="I48" i="16"/>
  <c r="I46" i="16"/>
  <c r="I42" i="16"/>
  <c r="I40" i="16"/>
  <c r="I38" i="16"/>
  <c r="I36" i="16"/>
  <c r="I32" i="16"/>
  <c r="I30" i="16"/>
  <c r="I28" i="16"/>
  <c r="I26" i="16"/>
  <c r="I22" i="16"/>
  <c r="I20" i="16"/>
  <c r="I18" i="16"/>
  <c r="I16" i="16"/>
  <c r="I12" i="16"/>
  <c r="I10" i="16"/>
  <c r="I8" i="16"/>
  <c r="K25" i="15" l="1"/>
  <c r="A41" i="9" l="1"/>
  <c r="A41" i="8"/>
  <c r="A41" i="7"/>
  <c r="A41" i="6"/>
  <c r="A41" i="5"/>
  <c r="A41" i="4"/>
  <c r="A41" i="1"/>
  <c r="A41" i="10"/>
  <c r="G52" i="15" l="1"/>
  <c r="H52" i="15"/>
  <c r="G54" i="15"/>
  <c r="G55" i="15"/>
  <c r="H55" i="15"/>
  <c r="J55" i="15"/>
  <c r="G56" i="15"/>
  <c r="H56" i="15"/>
  <c r="J56" i="15"/>
  <c r="G57" i="15"/>
  <c r="H57" i="15"/>
  <c r="J57" i="15"/>
  <c r="K57" i="15"/>
  <c r="G58" i="15"/>
  <c r="H58" i="15"/>
  <c r="J58" i="15"/>
  <c r="K58" i="15"/>
  <c r="G59" i="15"/>
  <c r="H59" i="15"/>
  <c r="J59" i="15"/>
  <c r="K59" i="15"/>
  <c r="G60" i="15"/>
  <c r="H60" i="15"/>
  <c r="J60" i="15"/>
  <c r="K60" i="15"/>
  <c r="G61" i="15"/>
  <c r="H61" i="15"/>
  <c r="J61" i="15"/>
  <c r="K61" i="15"/>
  <c r="G62" i="15"/>
  <c r="H62" i="15"/>
  <c r="J62" i="15"/>
  <c r="K62" i="15"/>
  <c r="G63" i="15"/>
  <c r="H63" i="15"/>
  <c r="J63" i="15"/>
  <c r="K63" i="15"/>
  <c r="G64" i="15"/>
  <c r="H64" i="15"/>
  <c r="J64" i="15"/>
  <c r="K64" i="15"/>
  <c r="G65" i="15"/>
  <c r="H65" i="15"/>
  <c r="J65" i="15"/>
  <c r="K65" i="15"/>
  <c r="G66" i="15"/>
  <c r="H66" i="15"/>
  <c r="J66" i="15"/>
  <c r="G67" i="15"/>
  <c r="H67" i="15"/>
  <c r="J67" i="15"/>
  <c r="K67" i="15"/>
  <c r="G68" i="15"/>
  <c r="H68" i="15"/>
  <c r="J68" i="15"/>
  <c r="K68" i="15"/>
  <c r="G69" i="15"/>
  <c r="H69" i="15"/>
  <c r="J69" i="15"/>
  <c r="K69" i="15"/>
  <c r="G70" i="15"/>
  <c r="H70" i="15"/>
  <c r="J70" i="15"/>
  <c r="K70" i="15"/>
  <c r="G71" i="15"/>
  <c r="H71" i="15"/>
  <c r="J71" i="15"/>
  <c r="K71" i="15"/>
  <c r="H72" i="15"/>
  <c r="J72" i="15"/>
  <c r="K72" i="15"/>
  <c r="H73" i="15"/>
  <c r="J73" i="15"/>
  <c r="K73" i="15"/>
  <c r="H74" i="15"/>
  <c r="J74" i="15"/>
  <c r="K74" i="15"/>
  <c r="J75" i="15"/>
  <c r="K75" i="15"/>
  <c r="A52" i="15"/>
  <c r="B52" i="15"/>
  <c r="A54" i="15"/>
  <c r="A55" i="15"/>
  <c r="B55" i="15"/>
  <c r="D55" i="15"/>
  <c r="A56" i="15"/>
  <c r="B56" i="15"/>
  <c r="D56" i="15"/>
  <c r="A57" i="15"/>
  <c r="B57" i="15"/>
  <c r="D57" i="15"/>
  <c r="E57" i="15"/>
  <c r="A58" i="15"/>
  <c r="B58" i="15"/>
  <c r="D58" i="15"/>
  <c r="E58" i="15"/>
  <c r="A59" i="15"/>
  <c r="B59" i="15"/>
  <c r="D59" i="15"/>
  <c r="E59" i="15"/>
  <c r="A60" i="15"/>
  <c r="B60" i="15"/>
  <c r="D60" i="15"/>
  <c r="E60" i="15"/>
  <c r="A61" i="15"/>
  <c r="B61" i="15"/>
  <c r="D61" i="15"/>
  <c r="E61" i="15"/>
  <c r="A62" i="15"/>
  <c r="B62" i="15"/>
  <c r="D62" i="15"/>
  <c r="E62" i="15"/>
  <c r="A63" i="15"/>
  <c r="B63" i="15"/>
  <c r="D63" i="15"/>
  <c r="E63" i="15"/>
  <c r="A64" i="15"/>
  <c r="B64" i="15"/>
  <c r="D64" i="15"/>
  <c r="E64" i="15"/>
  <c r="A65" i="15"/>
  <c r="B65" i="15"/>
  <c r="D65" i="15"/>
  <c r="E65" i="15"/>
  <c r="A66" i="15"/>
  <c r="B66" i="15"/>
  <c r="D66" i="15"/>
  <c r="A67" i="15"/>
  <c r="B67" i="15"/>
  <c r="D67" i="15"/>
  <c r="E67" i="15"/>
  <c r="A68" i="15"/>
  <c r="B68" i="15"/>
  <c r="D68" i="15"/>
  <c r="E68" i="15"/>
  <c r="A69" i="15"/>
  <c r="B69" i="15"/>
  <c r="D69" i="15"/>
  <c r="E69" i="15"/>
  <c r="A70" i="15"/>
  <c r="B70" i="15"/>
  <c r="D70" i="15"/>
  <c r="E70" i="15"/>
  <c r="A71" i="15"/>
  <c r="B71" i="15"/>
  <c r="D71" i="15"/>
  <c r="E71" i="15"/>
  <c r="B72" i="15"/>
  <c r="D72" i="15"/>
  <c r="E72" i="15"/>
  <c r="B73" i="15"/>
  <c r="D73" i="15"/>
  <c r="E73" i="15"/>
  <c r="B74" i="15"/>
  <c r="D74" i="15"/>
  <c r="E74" i="15"/>
  <c r="D75" i="15"/>
  <c r="E75" i="15"/>
  <c r="M27" i="15"/>
  <c r="N27" i="15"/>
  <c r="M29" i="15"/>
  <c r="M30" i="15"/>
  <c r="N30" i="15"/>
  <c r="P30" i="15"/>
  <c r="M31" i="15"/>
  <c r="N31" i="15"/>
  <c r="P31" i="15"/>
  <c r="M32" i="15"/>
  <c r="N32" i="15"/>
  <c r="P32" i="15"/>
  <c r="Q32" i="15"/>
  <c r="M33" i="15"/>
  <c r="N33" i="15"/>
  <c r="P33" i="15"/>
  <c r="Q33" i="15"/>
  <c r="M34" i="15"/>
  <c r="N34" i="15"/>
  <c r="P34" i="15"/>
  <c r="Q34" i="15"/>
  <c r="M35" i="15"/>
  <c r="N35" i="15"/>
  <c r="P35" i="15"/>
  <c r="Q35" i="15"/>
  <c r="M36" i="15"/>
  <c r="N36" i="15"/>
  <c r="P36" i="15"/>
  <c r="Q36" i="15"/>
  <c r="M37" i="15"/>
  <c r="N37" i="15"/>
  <c r="P37" i="15"/>
  <c r="Q37" i="15"/>
  <c r="M38" i="15"/>
  <c r="N38" i="15"/>
  <c r="P38" i="15"/>
  <c r="Q38" i="15"/>
  <c r="M39" i="15"/>
  <c r="N39" i="15"/>
  <c r="P39" i="15"/>
  <c r="Q39" i="15"/>
  <c r="M40" i="15"/>
  <c r="N40" i="15"/>
  <c r="P40" i="15"/>
  <c r="Q40" i="15"/>
  <c r="M41" i="15"/>
  <c r="N41" i="15"/>
  <c r="P41" i="15"/>
  <c r="M42" i="15"/>
  <c r="N42" i="15"/>
  <c r="P42" i="15"/>
  <c r="Q42" i="15"/>
  <c r="M43" i="15"/>
  <c r="N43" i="15"/>
  <c r="P43" i="15"/>
  <c r="Q43" i="15"/>
  <c r="M44" i="15"/>
  <c r="N44" i="15"/>
  <c r="P44" i="15"/>
  <c r="Q44" i="15"/>
  <c r="M45" i="15"/>
  <c r="N45" i="15"/>
  <c r="P45" i="15"/>
  <c r="Q45" i="15"/>
  <c r="M46" i="15"/>
  <c r="N46" i="15"/>
  <c r="P46" i="15"/>
  <c r="Q46" i="15"/>
  <c r="N47" i="15"/>
  <c r="P47" i="15"/>
  <c r="Q47" i="15"/>
  <c r="N48" i="15"/>
  <c r="P48" i="15"/>
  <c r="Q48" i="15"/>
  <c r="N49" i="15"/>
  <c r="P49" i="15"/>
  <c r="Q49" i="15"/>
  <c r="P50" i="15"/>
  <c r="Q50" i="15"/>
  <c r="G27" i="15"/>
  <c r="H27" i="15"/>
  <c r="I27" i="15"/>
  <c r="I28" i="15"/>
  <c r="G29" i="15"/>
  <c r="G30" i="15"/>
  <c r="H30" i="15"/>
  <c r="J30" i="15"/>
  <c r="G31" i="15"/>
  <c r="H31" i="15"/>
  <c r="J31" i="15"/>
  <c r="G32" i="15"/>
  <c r="H32" i="15"/>
  <c r="J32" i="15"/>
  <c r="K32" i="15"/>
  <c r="G33" i="15"/>
  <c r="H33" i="15"/>
  <c r="J33" i="15"/>
  <c r="K33" i="15"/>
  <c r="G34" i="15"/>
  <c r="H34" i="15"/>
  <c r="J34" i="15"/>
  <c r="K34" i="15"/>
  <c r="G35" i="15"/>
  <c r="H35" i="15"/>
  <c r="J35" i="15"/>
  <c r="K35" i="15"/>
  <c r="G36" i="15"/>
  <c r="H36" i="15"/>
  <c r="J36" i="15"/>
  <c r="K36" i="15"/>
  <c r="G37" i="15"/>
  <c r="H37" i="15"/>
  <c r="J37" i="15"/>
  <c r="K37" i="15"/>
  <c r="G38" i="15"/>
  <c r="H38" i="15"/>
  <c r="J38" i="15"/>
  <c r="K38" i="15"/>
  <c r="G39" i="15"/>
  <c r="H39" i="15"/>
  <c r="J39" i="15"/>
  <c r="K39" i="15"/>
  <c r="G40" i="15"/>
  <c r="H40" i="15"/>
  <c r="J40" i="15"/>
  <c r="K40" i="15"/>
  <c r="G41" i="15"/>
  <c r="H41" i="15"/>
  <c r="J41" i="15"/>
  <c r="G42" i="15"/>
  <c r="H42" i="15"/>
  <c r="J42" i="15"/>
  <c r="K42" i="15"/>
  <c r="G43" i="15"/>
  <c r="H43" i="15"/>
  <c r="J43" i="15"/>
  <c r="K43" i="15"/>
  <c r="G44" i="15"/>
  <c r="H44" i="15"/>
  <c r="J44" i="15"/>
  <c r="K44" i="15"/>
  <c r="G45" i="15"/>
  <c r="H45" i="15"/>
  <c r="J45" i="15"/>
  <c r="K45" i="15"/>
  <c r="G46" i="15"/>
  <c r="H46" i="15"/>
  <c r="J46" i="15"/>
  <c r="K46" i="15"/>
  <c r="H47" i="15"/>
  <c r="J47" i="15"/>
  <c r="K47" i="15"/>
  <c r="H48" i="15"/>
  <c r="J48" i="15"/>
  <c r="K48" i="15"/>
  <c r="H49" i="15"/>
  <c r="J49" i="15"/>
  <c r="K49" i="15"/>
  <c r="J50" i="15"/>
  <c r="K50" i="15"/>
  <c r="A27" i="15"/>
  <c r="B27" i="15"/>
  <c r="A29" i="15"/>
  <c r="A30" i="15"/>
  <c r="B30" i="15"/>
  <c r="D30" i="15"/>
  <c r="A31" i="15"/>
  <c r="B31" i="15"/>
  <c r="D31" i="15"/>
  <c r="A32" i="15"/>
  <c r="B32" i="15"/>
  <c r="D32" i="15"/>
  <c r="E32" i="15"/>
  <c r="A33" i="15"/>
  <c r="B33" i="15"/>
  <c r="D33" i="15"/>
  <c r="E33" i="15"/>
  <c r="A34" i="15"/>
  <c r="B34" i="15"/>
  <c r="D34" i="15"/>
  <c r="E34" i="15"/>
  <c r="A35" i="15"/>
  <c r="B35" i="15"/>
  <c r="D35" i="15"/>
  <c r="E35" i="15"/>
  <c r="A36" i="15"/>
  <c r="B36" i="15"/>
  <c r="D36" i="15"/>
  <c r="E36" i="15"/>
  <c r="A37" i="15"/>
  <c r="B37" i="15"/>
  <c r="D37" i="15"/>
  <c r="E37" i="15"/>
  <c r="A38" i="15"/>
  <c r="B38" i="15"/>
  <c r="D38" i="15"/>
  <c r="E38" i="15"/>
  <c r="A39" i="15"/>
  <c r="B39" i="15"/>
  <c r="D39" i="15"/>
  <c r="E39" i="15"/>
  <c r="A40" i="15"/>
  <c r="B40" i="15"/>
  <c r="D40" i="15"/>
  <c r="E40" i="15"/>
  <c r="A41" i="15"/>
  <c r="B41" i="15"/>
  <c r="D41" i="15"/>
  <c r="A42" i="15"/>
  <c r="B42" i="15"/>
  <c r="D42" i="15"/>
  <c r="E42" i="15"/>
  <c r="A43" i="15"/>
  <c r="B43" i="15"/>
  <c r="D43" i="15"/>
  <c r="E43" i="15"/>
  <c r="A44" i="15"/>
  <c r="B44" i="15"/>
  <c r="D44" i="15"/>
  <c r="E44" i="15"/>
  <c r="A45" i="15"/>
  <c r="B45" i="15"/>
  <c r="D45" i="15"/>
  <c r="E45" i="15"/>
  <c r="A46" i="15"/>
  <c r="B46" i="15"/>
  <c r="D46" i="15"/>
  <c r="E46" i="15"/>
  <c r="B47" i="15"/>
  <c r="D47" i="15"/>
  <c r="E47" i="15"/>
  <c r="B48" i="15"/>
  <c r="D48" i="15"/>
  <c r="E48" i="15"/>
  <c r="B49" i="15"/>
  <c r="D49" i="15"/>
  <c r="E49" i="15"/>
  <c r="D50" i="15"/>
  <c r="E50" i="15"/>
  <c r="M2" i="15"/>
  <c r="N2" i="15"/>
  <c r="M4" i="15"/>
  <c r="M5" i="15"/>
  <c r="N5" i="15"/>
  <c r="P5" i="15"/>
  <c r="M6" i="15"/>
  <c r="N6" i="15"/>
  <c r="P6" i="15"/>
  <c r="M7" i="15"/>
  <c r="N7" i="15"/>
  <c r="P7" i="15"/>
  <c r="Q7" i="15"/>
  <c r="M8" i="15"/>
  <c r="N8" i="15"/>
  <c r="P8" i="15"/>
  <c r="Q8" i="15"/>
  <c r="M9" i="15"/>
  <c r="N9" i="15"/>
  <c r="P9" i="15"/>
  <c r="Q9" i="15"/>
  <c r="M10" i="15"/>
  <c r="N10" i="15"/>
  <c r="P10" i="15"/>
  <c r="Q10" i="15"/>
  <c r="M11" i="15"/>
  <c r="N11" i="15"/>
  <c r="P11" i="15"/>
  <c r="Q11" i="15"/>
  <c r="M12" i="15"/>
  <c r="N12" i="15"/>
  <c r="P12" i="15"/>
  <c r="Q12" i="15"/>
  <c r="M13" i="15"/>
  <c r="N13" i="15"/>
  <c r="P13" i="15"/>
  <c r="Q13" i="15"/>
  <c r="M14" i="15"/>
  <c r="N14" i="15"/>
  <c r="P14" i="15"/>
  <c r="Q14" i="15"/>
  <c r="M15" i="15"/>
  <c r="N15" i="15"/>
  <c r="P15" i="15"/>
  <c r="Q15" i="15"/>
  <c r="M16" i="15"/>
  <c r="N16" i="15"/>
  <c r="P16" i="15"/>
  <c r="M17" i="15"/>
  <c r="N17" i="15"/>
  <c r="P17" i="15"/>
  <c r="Q17" i="15"/>
  <c r="M18" i="15"/>
  <c r="N18" i="15"/>
  <c r="P18" i="15"/>
  <c r="Q18" i="15"/>
  <c r="M19" i="15"/>
  <c r="N19" i="15"/>
  <c r="P19" i="15"/>
  <c r="Q19" i="15"/>
  <c r="M20" i="15"/>
  <c r="N20" i="15"/>
  <c r="P20" i="15"/>
  <c r="Q20" i="15"/>
  <c r="M21" i="15"/>
  <c r="N21" i="15"/>
  <c r="P21" i="15"/>
  <c r="Q21" i="15"/>
  <c r="N22" i="15"/>
  <c r="P22" i="15"/>
  <c r="Q22" i="15"/>
  <c r="N23" i="15"/>
  <c r="P23" i="15"/>
  <c r="Q23" i="15"/>
  <c r="N24" i="15"/>
  <c r="P24" i="15"/>
  <c r="Q24" i="15"/>
  <c r="P25" i="15"/>
  <c r="Q25" i="15"/>
  <c r="G2" i="15"/>
  <c r="H2" i="15"/>
  <c r="G4" i="15"/>
  <c r="G5" i="15"/>
  <c r="H5" i="15"/>
  <c r="J5" i="15"/>
  <c r="G6" i="15"/>
  <c r="H6" i="15"/>
  <c r="J6" i="15"/>
  <c r="G7" i="15"/>
  <c r="H7" i="15"/>
  <c r="J7" i="15"/>
  <c r="K7" i="15"/>
  <c r="G8" i="15"/>
  <c r="H8" i="15"/>
  <c r="J8" i="15"/>
  <c r="K8" i="15"/>
  <c r="G9" i="15"/>
  <c r="H9" i="15"/>
  <c r="J9" i="15"/>
  <c r="K9" i="15"/>
  <c r="G10" i="15"/>
  <c r="H10" i="15"/>
  <c r="J10" i="15"/>
  <c r="K10" i="15"/>
  <c r="G11" i="15"/>
  <c r="H11" i="15"/>
  <c r="J11" i="15"/>
  <c r="K11" i="15"/>
  <c r="G12" i="15"/>
  <c r="H12" i="15"/>
  <c r="J12" i="15"/>
  <c r="K12" i="15"/>
  <c r="G13" i="15"/>
  <c r="H13" i="15"/>
  <c r="J13" i="15"/>
  <c r="K13" i="15"/>
  <c r="G14" i="15"/>
  <c r="H14" i="15"/>
  <c r="J14" i="15"/>
  <c r="K14" i="15"/>
  <c r="G15" i="15"/>
  <c r="H15" i="15"/>
  <c r="J15" i="15"/>
  <c r="K15" i="15"/>
  <c r="G16" i="15"/>
  <c r="H16" i="15"/>
  <c r="J16" i="15"/>
  <c r="G17" i="15"/>
  <c r="H17" i="15"/>
  <c r="J17" i="15"/>
  <c r="K17" i="15"/>
  <c r="G18" i="15"/>
  <c r="H18" i="15"/>
  <c r="J18" i="15"/>
  <c r="K18" i="15"/>
  <c r="G19" i="15"/>
  <c r="H19" i="15"/>
  <c r="J19" i="15"/>
  <c r="K19" i="15"/>
  <c r="G20" i="15"/>
  <c r="H20" i="15"/>
  <c r="J20" i="15"/>
  <c r="K20" i="15"/>
  <c r="G21" i="15"/>
  <c r="H21" i="15"/>
  <c r="J21" i="15"/>
  <c r="K21" i="15"/>
  <c r="H22" i="15"/>
  <c r="J22" i="15"/>
  <c r="K22" i="15"/>
  <c r="H23" i="15"/>
  <c r="J23" i="15"/>
  <c r="K23" i="15"/>
  <c r="H24" i="15"/>
  <c r="J24" i="15"/>
  <c r="K24" i="15"/>
  <c r="J25" i="15"/>
  <c r="A2" i="15"/>
  <c r="B2" i="15"/>
  <c r="A4" i="15"/>
  <c r="A5" i="15"/>
  <c r="B5" i="15"/>
  <c r="D5" i="15"/>
  <c r="A6" i="15"/>
  <c r="B6" i="15"/>
  <c r="D6" i="15"/>
  <c r="A7" i="15"/>
  <c r="B7" i="15"/>
  <c r="D7" i="15"/>
  <c r="E7" i="15"/>
  <c r="A8" i="15"/>
  <c r="B8" i="15"/>
  <c r="D8" i="15"/>
  <c r="E8" i="15"/>
  <c r="A9" i="15"/>
  <c r="B9" i="15"/>
  <c r="D9" i="15"/>
  <c r="E9" i="15"/>
  <c r="A10" i="15"/>
  <c r="B10" i="15"/>
  <c r="D10" i="15"/>
  <c r="E10" i="15"/>
  <c r="A11" i="15"/>
  <c r="B11" i="15"/>
  <c r="D11" i="15"/>
  <c r="E11" i="15"/>
  <c r="A12" i="15"/>
  <c r="B12" i="15"/>
  <c r="D12" i="15"/>
  <c r="E12" i="15"/>
  <c r="A13" i="15"/>
  <c r="B13" i="15"/>
  <c r="D13" i="15"/>
  <c r="E13" i="15"/>
  <c r="A14" i="15"/>
  <c r="B14" i="15"/>
  <c r="D14" i="15"/>
  <c r="E14" i="15"/>
  <c r="A15" i="15"/>
  <c r="B15" i="15"/>
  <c r="D15" i="15"/>
  <c r="E15" i="15"/>
  <c r="A16" i="15"/>
  <c r="B16" i="15"/>
  <c r="D16" i="15"/>
  <c r="A17" i="15"/>
  <c r="B17" i="15"/>
  <c r="D17" i="15"/>
  <c r="E17" i="15"/>
  <c r="A18" i="15"/>
  <c r="B18" i="15"/>
  <c r="D18" i="15"/>
  <c r="E18" i="15"/>
  <c r="A19" i="15"/>
  <c r="B19" i="15"/>
  <c r="D19" i="15"/>
  <c r="E19" i="15"/>
  <c r="A20" i="15"/>
  <c r="B20" i="15"/>
  <c r="D20" i="15"/>
  <c r="E20" i="15"/>
  <c r="A21" i="15"/>
  <c r="B21" i="15"/>
  <c r="D21" i="15"/>
  <c r="E21" i="15"/>
  <c r="B22" i="15"/>
  <c r="D22" i="15"/>
  <c r="E22" i="15"/>
  <c r="B23" i="15"/>
  <c r="D23" i="15"/>
  <c r="E23" i="15"/>
  <c r="B24" i="15"/>
  <c r="D24" i="15"/>
  <c r="E24" i="15"/>
  <c r="D25" i="15"/>
  <c r="E25" i="15"/>
  <c r="E2" i="12" l="1"/>
  <c r="E2" i="11"/>
  <c r="H78" i="10"/>
  <c r="F78" i="10"/>
  <c r="D78" i="10"/>
  <c r="B78" i="10"/>
  <c r="H76" i="10"/>
  <c r="F76" i="10"/>
  <c r="D76" i="10"/>
  <c r="B76" i="10"/>
  <c r="H74" i="10"/>
  <c r="F74" i="10"/>
  <c r="D74" i="10"/>
  <c r="B74" i="10"/>
  <c r="H72" i="10"/>
  <c r="F72" i="10"/>
  <c r="D72" i="10"/>
  <c r="B72" i="10"/>
  <c r="H70" i="10"/>
  <c r="F70" i="10"/>
  <c r="D70" i="10"/>
  <c r="B70" i="10"/>
  <c r="H68" i="10"/>
  <c r="F68" i="10"/>
  <c r="D68" i="10"/>
  <c r="B68" i="10"/>
  <c r="H66" i="10"/>
  <c r="F66" i="10"/>
  <c r="D66" i="10"/>
  <c r="B66" i="10"/>
  <c r="H64" i="10"/>
  <c r="F64" i="10"/>
  <c r="D64" i="10"/>
  <c r="B64" i="10"/>
  <c r="H59" i="10"/>
  <c r="F59" i="10"/>
  <c r="D59" i="10"/>
  <c r="B59" i="10"/>
  <c r="H57" i="10"/>
  <c r="F57" i="10"/>
  <c r="D57" i="10"/>
  <c r="B57" i="10"/>
  <c r="H55" i="10"/>
  <c r="F55" i="10"/>
  <c r="D55" i="10"/>
  <c r="B55" i="10"/>
  <c r="H53" i="10"/>
  <c r="F53" i="10"/>
  <c r="D53" i="10"/>
  <c r="B53" i="10"/>
  <c r="H48" i="10"/>
  <c r="F48" i="10"/>
  <c r="D48" i="10"/>
  <c r="B48" i="10"/>
  <c r="H46" i="10"/>
  <c r="F46" i="10"/>
  <c r="D46" i="10"/>
  <c r="B46" i="10"/>
  <c r="H44" i="10"/>
  <c r="F44" i="10"/>
  <c r="D44" i="10"/>
  <c r="B44" i="10"/>
  <c r="H42" i="10"/>
  <c r="F42" i="10"/>
  <c r="D42" i="10"/>
  <c r="B42" i="10"/>
  <c r="H40" i="10"/>
  <c r="F40" i="10"/>
  <c r="D40" i="10"/>
  <c r="B40" i="10"/>
  <c r="H38" i="10"/>
  <c r="F38" i="10"/>
  <c r="D38" i="10"/>
  <c r="B38" i="10"/>
  <c r="H36" i="10"/>
  <c r="F36" i="10"/>
  <c r="D36" i="10"/>
  <c r="B36" i="10"/>
  <c r="H34" i="10"/>
  <c r="F34" i="10"/>
  <c r="D34" i="10"/>
  <c r="B34" i="10"/>
  <c r="E2" i="3"/>
  <c r="G77" i="10" l="1"/>
  <c r="E77" i="10"/>
  <c r="C77" i="10"/>
  <c r="A77" i="10"/>
  <c r="G75" i="10"/>
  <c r="E75" i="10"/>
  <c r="C75" i="10"/>
  <c r="A75" i="10"/>
  <c r="G73" i="10"/>
  <c r="E73" i="10"/>
  <c r="C73" i="10"/>
  <c r="A73" i="10"/>
  <c r="G71" i="10"/>
  <c r="E71" i="10"/>
  <c r="C71" i="10"/>
  <c r="A71" i="10"/>
  <c r="G69" i="10"/>
  <c r="E69" i="10"/>
  <c r="C69" i="10"/>
  <c r="A69" i="10"/>
  <c r="G67" i="10"/>
  <c r="E67" i="10"/>
  <c r="C67" i="10"/>
  <c r="A67" i="10"/>
  <c r="G65" i="10"/>
  <c r="E65" i="10"/>
  <c r="C65" i="10"/>
  <c r="A65" i="10"/>
  <c r="G63" i="10"/>
  <c r="B51" i="12" s="1" a="1"/>
  <c r="E63" i="10"/>
  <c r="C63" i="10"/>
  <c r="A63" i="10"/>
  <c r="G58" i="10"/>
  <c r="E58" i="10"/>
  <c r="C58" i="10"/>
  <c r="A58" i="10"/>
  <c r="G56" i="10"/>
  <c r="E56" i="10"/>
  <c r="C56" i="10"/>
  <c r="A56" i="10"/>
  <c r="G54" i="10"/>
  <c r="E54" i="10"/>
  <c r="C54" i="10"/>
  <c r="A54" i="10"/>
  <c r="G52" i="10"/>
  <c r="E52" i="10"/>
  <c r="C52" i="10"/>
  <c r="A52" i="10"/>
  <c r="G47" i="10"/>
  <c r="E47" i="10"/>
  <c r="C47" i="10"/>
  <c r="A47" i="10"/>
  <c r="G45" i="10"/>
  <c r="E45" i="10"/>
  <c r="C45" i="10"/>
  <c r="A45" i="10"/>
  <c r="G43" i="10"/>
  <c r="E43" i="10"/>
  <c r="C43" i="10"/>
  <c r="A43" i="10"/>
  <c r="G41" i="10"/>
  <c r="E41" i="10"/>
  <c r="C41" i="10"/>
  <c r="G39" i="10"/>
  <c r="E39" i="10"/>
  <c r="C39" i="10"/>
  <c r="A39" i="10"/>
  <c r="G37" i="10"/>
  <c r="E37" i="10"/>
  <c r="C37" i="10"/>
  <c r="A37" i="10"/>
  <c r="G35" i="10"/>
  <c r="E35" i="10"/>
  <c r="C35" i="10"/>
  <c r="A35" i="10"/>
  <c r="G33" i="10"/>
  <c r="E33" i="10"/>
  <c r="C33" i="10"/>
  <c r="A33" i="10"/>
  <c r="H78" i="9"/>
  <c r="F78" i="9"/>
  <c r="D78" i="9"/>
  <c r="B78" i="9"/>
  <c r="G77" i="9"/>
  <c r="E77" i="9"/>
  <c r="C77" i="9"/>
  <c r="A77" i="9"/>
  <c r="H76" i="9"/>
  <c r="F76" i="9"/>
  <c r="D76" i="9"/>
  <c r="B76" i="9"/>
  <c r="G75" i="9"/>
  <c r="E75" i="9"/>
  <c r="C75" i="9"/>
  <c r="A75" i="9"/>
  <c r="H74" i="9"/>
  <c r="F74" i="9"/>
  <c r="D74" i="9"/>
  <c r="B74" i="9"/>
  <c r="G73" i="9"/>
  <c r="E73" i="9"/>
  <c r="C73" i="9"/>
  <c r="A73" i="9"/>
  <c r="H72" i="9"/>
  <c r="F72" i="9"/>
  <c r="D72" i="9"/>
  <c r="B72" i="9"/>
  <c r="G71" i="9"/>
  <c r="E71" i="9"/>
  <c r="C71" i="9"/>
  <c r="A71" i="9"/>
  <c r="H70" i="9"/>
  <c r="F70" i="9"/>
  <c r="D70" i="9"/>
  <c r="B70" i="9"/>
  <c r="G69" i="9"/>
  <c r="E69" i="9"/>
  <c r="C69" i="9"/>
  <c r="A69" i="9"/>
  <c r="H68" i="9"/>
  <c r="F68" i="9"/>
  <c r="D68" i="9"/>
  <c r="B68" i="9"/>
  <c r="G67" i="9"/>
  <c r="E67" i="9"/>
  <c r="C67" i="9"/>
  <c r="A67" i="9"/>
  <c r="H66" i="9"/>
  <c r="F66" i="9"/>
  <c r="D66" i="9"/>
  <c r="B66" i="9"/>
  <c r="G65" i="9"/>
  <c r="E65" i="9"/>
  <c r="C65" i="9"/>
  <c r="A65" i="9"/>
  <c r="H64" i="9"/>
  <c r="F64" i="9"/>
  <c r="D64" i="9"/>
  <c r="B64" i="9"/>
  <c r="G63" i="9"/>
  <c r="E63" i="9"/>
  <c r="C63" i="9"/>
  <c r="A63" i="9"/>
  <c r="H59" i="9"/>
  <c r="F59" i="9"/>
  <c r="D59" i="9"/>
  <c r="B59" i="9"/>
  <c r="G58" i="9"/>
  <c r="E58" i="9"/>
  <c r="C58" i="9"/>
  <c r="A58" i="9"/>
  <c r="H57" i="9"/>
  <c r="F57" i="9"/>
  <c r="D57" i="9"/>
  <c r="B57" i="9"/>
  <c r="G56" i="9"/>
  <c r="E56" i="9"/>
  <c r="C56" i="9"/>
  <c r="A56" i="9"/>
  <c r="H55" i="9"/>
  <c r="F55" i="9"/>
  <c r="D55" i="9"/>
  <c r="B55" i="9"/>
  <c r="G54" i="9"/>
  <c r="E54" i="9"/>
  <c r="C54" i="9"/>
  <c r="A54" i="9"/>
  <c r="H53" i="9"/>
  <c r="F53" i="9"/>
  <c r="D53" i="9"/>
  <c r="B53" i="9"/>
  <c r="G52" i="9"/>
  <c r="E52" i="9"/>
  <c r="C52" i="9"/>
  <c r="A52" i="9"/>
  <c r="H48" i="9"/>
  <c r="F48" i="9"/>
  <c r="D48" i="9"/>
  <c r="B48" i="9"/>
  <c r="G47" i="9"/>
  <c r="E47" i="9"/>
  <c r="C47" i="9"/>
  <c r="A47" i="9"/>
  <c r="H46" i="9"/>
  <c r="F46" i="9"/>
  <c r="D46" i="9"/>
  <c r="B46" i="9"/>
  <c r="G45" i="9"/>
  <c r="E45" i="9"/>
  <c r="C45" i="9"/>
  <c r="A45" i="9"/>
  <c r="H44" i="9"/>
  <c r="F44" i="9"/>
  <c r="D44" i="9"/>
  <c r="B44" i="9"/>
  <c r="G43" i="9"/>
  <c r="E43" i="9"/>
  <c r="C43" i="9"/>
  <c r="A43" i="9"/>
  <c r="H42" i="9"/>
  <c r="F42" i="9"/>
  <c r="D42" i="9"/>
  <c r="B42" i="9"/>
  <c r="G41" i="9"/>
  <c r="E41" i="9"/>
  <c r="C41" i="9"/>
  <c r="H40" i="9"/>
  <c r="F40" i="9"/>
  <c r="D40" i="9"/>
  <c r="B40" i="9"/>
  <c r="G39" i="9"/>
  <c r="E39" i="9"/>
  <c r="C39" i="9"/>
  <c r="A39" i="9"/>
  <c r="H38" i="9"/>
  <c r="F38" i="9"/>
  <c r="D38" i="9"/>
  <c r="B38" i="9"/>
  <c r="G37" i="9"/>
  <c r="E37" i="9"/>
  <c r="C37" i="9"/>
  <c r="A37" i="9"/>
  <c r="H36" i="9"/>
  <c r="F36" i="9"/>
  <c r="D36" i="9"/>
  <c r="B36" i="9"/>
  <c r="G35" i="9"/>
  <c r="E35" i="9"/>
  <c r="C35" i="9"/>
  <c r="A35" i="9"/>
  <c r="H34" i="9"/>
  <c r="F34" i="9"/>
  <c r="D34" i="9"/>
  <c r="B34" i="9"/>
  <c r="G33" i="9"/>
  <c r="E33" i="9"/>
  <c r="C33" i="9"/>
  <c r="A33" i="9"/>
  <c r="H78" i="8"/>
  <c r="F78" i="8"/>
  <c r="D78" i="8"/>
  <c r="B78" i="8"/>
  <c r="G77" i="8"/>
  <c r="E77" i="8"/>
  <c r="C77" i="8"/>
  <c r="A77" i="8"/>
  <c r="H76" i="8"/>
  <c r="F76" i="8"/>
  <c r="D76" i="8"/>
  <c r="B76" i="8"/>
  <c r="G75" i="8"/>
  <c r="E75" i="8"/>
  <c r="C75" i="8"/>
  <c r="A75" i="8"/>
  <c r="H74" i="8"/>
  <c r="F74" i="8"/>
  <c r="D74" i="8"/>
  <c r="B74" i="8"/>
  <c r="G73" i="8"/>
  <c r="E73" i="8"/>
  <c r="C73" i="8"/>
  <c r="A73" i="8"/>
  <c r="H72" i="8"/>
  <c r="F72" i="8"/>
  <c r="D72" i="8"/>
  <c r="B72" i="8"/>
  <c r="G71" i="8"/>
  <c r="E71" i="8"/>
  <c r="C71" i="8"/>
  <c r="A71" i="8"/>
  <c r="H70" i="8"/>
  <c r="F70" i="8"/>
  <c r="D70" i="8"/>
  <c r="B70" i="8"/>
  <c r="G69" i="8"/>
  <c r="E69" i="8"/>
  <c r="C69" i="8"/>
  <c r="A69" i="8"/>
  <c r="H68" i="8"/>
  <c r="F68" i="8"/>
  <c r="D68" i="8"/>
  <c r="B68" i="8"/>
  <c r="G67" i="8"/>
  <c r="E67" i="8"/>
  <c r="C67" i="8"/>
  <c r="A67" i="8"/>
  <c r="H66" i="8"/>
  <c r="F66" i="8"/>
  <c r="D66" i="8"/>
  <c r="B66" i="8"/>
  <c r="G65" i="8"/>
  <c r="E65" i="8"/>
  <c r="C65" i="8"/>
  <c r="A65" i="8"/>
  <c r="H64" i="8"/>
  <c r="F64" i="8"/>
  <c r="D64" i="8"/>
  <c r="B64" i="8"/>
  <c r="G63" i="8"/>
  <c r="E63" i="8"/>
  <c r="C63" i="8"/>
  <c r="A63" i="8"/>
  <c r="H59" i="8"/>
  <c r="F59" i="8"/>
  <c r="D59" i="8"/>
  <c r="B59" i="8"/>
  <c r="G58" i="8"/>
  <c r="E58" i="8"/>
  <c r="C58" i="8"/>
  <c r="A58" i="8"/>
  <c r="H57" i="8"/>
  <c r="F57" i="8"/>
  <c r="D57" i="8"/>
  <c r="B57" i="8"/>
  <c r="G56" i="8"/>
  <c r="E56" i="8"/>
  <c r="C56" i="8"/>
  <c r="A56" i="8"/>
  <c r="H55" i="8"/>
  <c r="F55" i="8"/>
  <c r="D55" i="8"/>
  <c r="B55" i="8"/>
  <c r="G54" i="8"/>
  <c r="E54" i="8"/>
  <c r="C54" i="8"/>
  <c r="A54" i="8"/>
  <c r="H53" i="8"/>
  <c r="F53" i="8"/>
  <c r="D53" i="8"/>
  <c r="B53" i="8"/>
  <c r="G52" i="8"/>
  <c r="E52" i="8"/>
  <c r="C52" i="8"/>
  <c r="A52" i="8"/>
  <c r="H48" i="8"/>
  <c r="F48" i="8"/>
  <c r="D48" i="8"/>
  <c r="B48" i="8"/>
  <c r="G47" i="8"/>
  <c r="E47" i="8"/>
  <c r="C47" i="8"/>
  <c r="A47" i="8"/>
  <c r="H46" i="8"/>
  <c r="F46" i="8"/>
  <c r="D46" i="8"/>
  <c r="B46" i="8"/>
  <c r="G45" i="8"/>
  <c r="E45" i="8"/>
  <c r="C45" i="8"/>
  <c r="A45" i="8"/>
  <c r="H44" i="8"/>
  <c r="F44" i="8"/>
  <c r="D44" i="8"/>
  <c r="B44" i="8"/>
  <c r="G43" i="8"/>
  <c r="E43" i="8"/>
  <c r="C43" i="8"/>
  <c r="A43" i="8"/>
  <c r="H42" i="8"/>
  <c r="F42" i="8"/>
  <c r="D42" i="8"/>
  <c r="B42" i="8"/>
  <c r="G41" i="8"/>
  <c r="E41" i="8"/>
  <c r="C41" i="8"/>
  <c r="H40" i="8"/>
  <c r="F40" i="8"/>
  <c r="D40" i="8"/>
  <c r="B40" i="8"/>
  <c r="G39" i="8"/>
  <c r="E39" i="8"/>
  <c r="C39" i="8"/>
  <c r="A39" i="8"/>
  <c r="H38" i="8"/>
  <c r="F38" i="8"/>
  <c r="D38" i="8"/>
  <c r="B38" i="8"/>
  <c r="G37" i="8"/>
  <c r="E37" i="8"/>
  <c r="C37" i="8"/>
  <c r="A37" i="8"/>
  <c r="H36" i="8"/>
  <c r="F36" i="8"/>
  <c r="D36" i="8"/>
  <c r="B36" i="8"/>
  <c r="G35" i="8"/>
  <c r="E35" i="8"/>
  <c r="C35" i="8"/>
  <c r="A35" i="8"/>
  <c r="H34" i="8"/>
  <c r="F34" i="8"/>
  <c r="D34" i="8"/>
  <c r="B34" i="8"/>
  <c r="G33" i="8"/>
  <c r="E33" i="8"/>
  <c r="C33" i="8"/>
  <c r="A33" i="8"/>
  <c r="H78" i="7"/>
  <c r="F78" i="7"/>
  <c r="D78" i="7"/>
  <c r="B78" i="7"/>
  <c r="G77" i="7"/>
  <c r="E77" i="7"/>
  <c r="C77" i="7"/>
  <c r="A77" i="7"/>
  <c r="H76" i="7"/>
  <c r="F76" i="7"/>
  <c r="D76" i="7"/>
  <c r="B76" i="7"/>
  <c r="G75" i="7"/>
  <c r="E75" i="7"/>
  <c r="C75" i="7"/>
  <c r="A75" i="7"/>
  <c r="H74" i="7"/>
  <c r="F74" i="7"/>
  <c r="D74" i="7"/>
  <c r="B74" i="7"/>
  <c r="G73" i="7"/>
  <c r="E73" i="7"/>
  <c r="C73" i="7"/>
  <c r="A73" i="7"/>
  <c r="H72" i="7"/>
  <c r="F72" i="7"/>
  <c r="D72" i="7"/>
  <c r="B72" i="7"/>
  <c r="G71" i="7"/>
  <c r="E71" i="7"/>
  <c r="C71" i="7"/>
  <c r="A71" i="7"/>
  <c r="H70" i="7"/>
  <c r="F70" i="7"/>
  <c r="D70" i="7"/>
  <c r="B70" i="7"/>
  <c r="G69" i="7"/>
  <c r="E69" i="7"/>
  <c r="C69" i="7"/>
  <c r="A69" i="7"/>
  <c r="H68" i="7"/>
  <c r="F68" i="7"/>
  <c r="D68" i="7"/>
  <c r="B68" i="7"/>
  <c r="G67" i="7"/>
  <c r="E67" i="7"/>
  <c r="C67" i="7"/>
  <c r="A67" i="7"/>
  <c r="H66" i="7"/>
  <c r="F66" i="7"/>
  <c r="D66" i="7"/>
  <c r="B66" i="7"/>
  <c r="G65" i="7"/>
  <c r="E65" i="7"/>
  <c r="C65" i="7"/>
  <c r="A65" i="7"/>
  <c r="H64" i="7"/>
  <c r="F64" i="7"/>
  <c r="D64" i="7"/>
  <c r="B64" i="7"/>
  <c r="G63" i="7"/>
  <c r="E63" i="7"/>
  <c r="C63" i="7"/>
  <c r="A63" i="7"/>
  <c r="H59" i="7"/>
  <c r="F59" i="7"/>
  <c r="D59" i="7"/>
  <c r="B59" i="7"/>
  <c r="G58" i="7"/>
  <c r="E58" i="7"/>
  <c r="C58" i="7"/>
  <c r="A58" i="7"/>
  <c r="H57" i="7"/>
  <c r="F57" i="7"/>
  <c r="D57" i="7"/>
  <c r="B57" i="7"/>
  <c r="G56" i="7"/>
  <c r="E56" i="7"/>
  <c r="C56" i="7"/>
  <c r="A56" i="7"/>
  <c r="H55" i="7"/>
  <c r="F55" i="7"/>
  <c r="D55" i="7"/>
  <c r="B55" i="7"/>
  <c r="G54" i="7"/>
  <c r="E54" i="7"/>
  <c r="C54" i="7"/>
  <c r="A54" i="7"/>
  <c r="H53" i="7"/>
  <c r="F53" i="7"/>
  <c r="D53" i="7"/>
  <c r="B53" i="7"/>
  <c r="G52" i="7"/>
  <c r="E52" i="7"/>
  <c r="C52" i="7"/>
  <c r="A52" i="7"/>
  <c r="H48" i="7"/>
  <c r="F48" i="7"/>
  <c r="D48" i="7"/>
  <c r="B48" i="7"/>
  <c r="G47" i="7"/>
  <c r="E47" i="7"/>
  <c r="C47" i="7"/>
  <c r="A47" i="7"/>
  <c r="H46" i="7"/>
  <c r="F46" i="7"/>
  <c r="D46" i="7"/>
  <c r="B46" i="7"/>
  <c r="G45" i="7"/>
  <c r="E45" i="7"/>
  <c r="C45" i="7"/>
  <c r="A45" i="7"/>
  <c r="H44" i="7"/>
  <c r="F44" i="7"/>
  <c r="D44" i="7"/>
  <c r="B44" i="7"/>
  <c r="G43" i="7"/>
  <c r="E43" i="7"/>
  <c r="C43" i="7"/>
  <c r="A43" i="7"/>
  <c r="H42" i="7"/>
  <c r="F42" i="7"/>
  <c r="D42" i="7"/>
  <c r="B42" i="7"/>
  <c r="G41" i="7"/>
  <c r="E41" i="7"/>
  <c r="C41" i="7"/>
  <c r="H40" i="7"/>
  <c r="F40" i="7"/>
  <c r="D40" i="7"/>
  <c r="B40" i="7"/>
  <c r="G39" i="7"/>
  <c r="E39" i="7"/>
  <c r="C39" i="7"/>
  <c r="A39" i="7"/>
  <c r="H38" i="7"/>
  <c r="F38" i="7"/>
  <c r="D38" i="7"/>
  <c r="B38" i="7"/>
  <c r="G37" i="7"/>
  <c r="E37" i="7"/>
  <c r="C37" i="7"/>
  <c r="A37" i="7"/>
  <c r="H36" i="7"/>
  <c r="F36" i="7"/>
  <c r="D36" i="7"/>
  <c r="B36" i="7"/>
  <c r="G35" i="7"/>
  <c r="E35" i="7"/>
  <c r="C35" i="7"/>
  <c r="A35" i="7"/>
  <c r="H34" i="7"/>
  <c r="F34" i="7"/>
  <c r="D34" i="7"/>
  <c r="B34" i="7"/>
  <c r="G33" i="7"/>
  <c r="E33" i="7"/>
  <c r="C33" i="7"/>
  <c r="A33" i="7"/>
  <c r="H78" i="6"/>
  <c r="F78" i="6"/>
  <c r="D78" i="6"/>
  <c r="B78" i="6"/>
  <c r="G77" i="6"/>
  <c r="E77" i="6"/>
  <c r="C77" i="6"/>
  <c r="A77" i="6"/>
  <c r="H76" i="6"/>
  <c r="F76" i="6"/>
  <c r="D76" i="6"/>
  <c r="B76" i="6"/>
  <c r="G75" i="6"/>
  <c r="E75" i="6"/>
  <c r="C75" i="6"/>
  <c r="A75" i="6"/>
  <c r="H74" i="6"/>
  <c r="F74" i="6"/>
  <c r="D74" i="6"/>
  <c r="B74" i="6"/>
  <c r="G73" i="6"/>
  <c r="E73" i="6"/>
  <c r="C73" i="6"/>
  <c r="A73" i="6"/>
  <c r="H72" i="6"/>
  <c r="F72" i="6"/>
  <c r="D72" i="6"/>
  <c r="B72" i="6"/>
  <c r="G71" i="6"/>
  <c r="E71" i="6"/>
  <c r="C71" i="6"/>
  <c r="A71" i="6"/>
  <c r="H70" i="6"/>
  <c r="F70" i="6"/>
  <c r="D70" i="6"/>
  <c r="B70" i="6"/>
  <c r="G69" i="6"/>
  <c r="E69" i="6"/>
  <c r="C69" i="6"/>
  <c r="A69" i="6"/>
  <c r="H68" i="6"/>
  <c r="F68" i="6"/>
  <c r="D68" i="6"/>
  <c r="B68" i="6"/>
  <c r="G67" i="6"/>
  <c r="E67" i="6"/>
  <c r="C67" i="6"/>
  <c r="A67" i="6"/>
  <c r="H66" i="6"/>
  <c r="F66" i="6"/>
  <c r="D66" i="6"/>
  <c r="B66" i="6"/>
  <c r="G65" i="6"/>
  <c r="E65" i="6"/>
  <c r="C65" i="6"/>
  <c r="A65" i="6"/>
  <c r="H64" i="6"/>
  <c r="F64" i="6"/>
  <c r="D64" i="6"/>
  <c r="B64" i="6"/>
  <c r="G63" i="6"/>
  <c r="E63" i="6"/>
  <c r="C63" i="6"/>
  <c r="A63" i="6"/>
  <c r="H59" i="6"/>
  <c r="F59" i="6"/>
  <c r="D59" i="6"/>
  <c r="B59" i="6"/>
  <c r="G58" i="6"/>
  <c r="E58" i="6"/>
  <c r="C58" i="6"/>
  <c r="A58" i="6"/>
  <c r="H57" i="6"/>
  <c r="F57" i="6"/>
  <c r="D57" i="6"/>
  <c r="B57" i="6"/>
  <c r="G56" i="6"/>
  <c r="E56" i="6"/>
  <c r="C56" i="6"/>
  <c r="A56" i="6"/>
  <c r="H55" i="6"/>
  <c r="F55" i="6"/>
  <c r="D55" i="6"/>
  <c r="B55" i="6"/>
  <c r="G54" i="6"/>
  <c r="E54" i="6"/>
  <c r="C54" i="6"/>
  <c r="A54" i="6"/>
  <c r="H53" i="6"/>
  <c r="F53" i="6"/>
  <c r="D53" i="6"/>
  <c r="B53" i="6"/>
  <c r="G52" i="6"/>
  <c r="E52" i="6"/>
  <c r="C52" i="6"/>
  <c r="A52" i="6"/>
  <c r="H48" i="6"/>
  <c r="F48" i="6"/>
  <c r="D48" i="6"/>
  <c r="B48" i="6"/>
  <c r="G47" i="6"/>
  <c r="E47" i="6"/>
  <c r="C47" i="6"/>
  <c r="A47" i="6"/>
  <c r="H46" i="6"/>
  <c r="F46" i="6"/>
  <c r="D46" i="6"/>
  <c r="B46" i="6"/>
  <c r="G45" i="6"/>
  <c r="E45" i="6"/>
  <c r="C45" i="6"/>
  <c r="A45" i="6"/>
  <c r="H44" i="6"/>
  <c r="F44" i="6"/>
  <c r="D44" i="6"/>
  <c r="B44" i="6"/>
  <c r="G43" i="6"/>
  <c r="E43" i="6"/>
  <c r="C43" i="6"/>
  <c r="A43" i="6"/>
  <c r="H42" i="6"/>
  <c r="F42" i="6"/>
  <c r="D42" i="6"/>
  <c r="B42" i="6"/>
  <c r="G41" i="6"/>
  <c r="E41" i="6"/>
  <c r="C41" i="6"/>
  <c r="H40" i="6"/>
  <c r="F40" i="6"/>
  <c r="D40" i="6"/>
  <c r="B40" i="6"/>
  <c r="G39" i="6"/>
  <c r="E39" i="6"/>
  <c r="C39" i="6"/>
  <c r="A39" i="6"/>
  <c r="H38" i="6"/>
  <c r="F38" i="6"/>
  <c r="D38" i="6"/>
  <c r="B38" i="6"/>
  <c r="G37" i="6"/>
  <c r="E37" i="6"/>
  <c r="C37" i="6"/>
  <c r="A37" i="6"/>
  <c r="H36" i="6"/>
  <c r="F36" i="6"/>
  <c r="D36" i="6"/>
  <c r="B36" i="6"/>
  <c r="G35" i="6"/>
  <c r="E35" i="6"/>
  <c r="C35" i="6"/>
  <c r="A35" i="6"/>
  <c r="H34" i="6"/>
  <c r="F34" i="6"/>
  <c r="D34" i="6"/>
  <c r="B34" i="6"/>
  <c r="G33" i="6"/>
  <c r="E33" i="6"/>
  <c r="C33" i="6"/>
  <c r="A33" i="6"/>
  <c r="H78" i="5"/>
  <c r="F78" i="5"/>
  <c r="D78" i="5"/>
  <c r="G77" i="5"/>
  <c r="E77" i="5"/>
  <c r="C77" i="5"/>
  <c r="H76" i="5"/>
  <c r="F76" i="5"/>
  <c r="D76" i="5"/>
  <c r="G75" i="5"/>
  <c r="E75" i="5"/>
  <c r="C75" i="5"/>
  <c r="H74" i="5"/>
  <c r="F74" i="5"/>
  <c r="D74" i="5"/>
  <c r="G73" i="5"/>
  <c r="E73" i="5"/>
  <c r="C73" i="5"/>
  <c r="H72" i="5"/>
  <c r="F72" i="5"/>
  <c r="D72" i="5"/>
  <c r="G71" i="5"/>
  <c r="E71" i="5"/>
  <c r="C71" i="5"/>
  <c r="H70" i="5"/>
  <c r="F70" i="5"/>
  <c r="D70" i="5"/>
  <c r="G69" i="5"/>
  <c r="E69" i="5"/>
  <c r="C69" i="5"/>
  <c r="H68" i="5"/>
  <c r="F68" i="5"/>
  <c r="D68" i="5"/>
  <c r="G67" i="5"/>
  <c r="E67" i="5"/>
  <c r="C67" i="5"/>
  <c r="H66" i="5"/>
  <c r="F66" i="5"/>
  <c r="D66" i="5"/>
  <c r="G65" i="5"/>
  <c r="E65" i="5"/>
  <c r="C65" i="5"/>
  <c r="H64" i="5"/>
  <c r="F64" i="5"/>
  <c r="D64" i="5"/>
  <c r="G63" i="5"/>
  <c r="E63" i="5"/>
  <c r="C63" i="5"/>
  <c r="H59" i="5"/>
  <c r="F59" i="5"/>
  <c r="D59" i="5"/>
  <c r="G58" i="5"/>
  <c r="E58" i="5"/>
  <c r="C58" i="5"/>
  <c r="H57" i="5"/>
  <c r="F57" i="5"/>
  <c r="D57" i="5"/>
  <c r="G56" i="5"/>
  <c r="E56" i="5"/>
  <c r="C56" i="5"/>
  <c r="H55" i="5"/>
  <c r="F55" i="5"/>
  <c r="D55" i="5"/>
  <c r="G54" i="5"/>
  <c r="E54" i="5"/>
  <c r="C54" i="5"/>
  <c r="H53" i="5"/>
  <c r="F53" i="5"/>
  <c r="D53" i="5"/>
  <c r="G52" i="5"/>
  <c r="E52" i="5"/>
  <c r="C52" i="5"/>
  <c r="H48" i="5"/>
  <c r="F48" i="5"/>
  <c r="D48" i="5"/>
  <c r="G47" i="5"/>
  <c r="E47" i="5"/>
  <c r="C47" i="5"/>
  <c r="H46" i="5"/>
  <c r="F46" i="5"/>
  <c r="D46" i="5"/>
  <c r="G45" i="5"/>
  <c r="E45" i="5"/>
  <c r="C45" i="5"/>
  <c r="H44" i="5"/>
  <c r="F44" i="5"/>
  <c r="D44" i="5"/>
  <c r="G43" i="5"/>
  <c r="E43" i="5"/>
  <c r="C43" i="5"/>
  <c r="H42" i="5"/>
  <c r="F42" i="5"/>
  <c r="D42" i="5"/>
  <c r="G41" i="5"/>
  <c r="E41" i="5"/>
  <c r="C41" i="5"/>
  <c r="H40" i="5"/>
  <c r="F40" i="5"/>
  <c r="D40" i="5"/>
  <c r="G39" i="5"/>
  <c r="E39" i="5"/>
  <c r="C39" i="5"/>
  <c r="H38" i="5"/>
  <c r="F38" i="5"/>
  <c r="D38" i="5"/>
  <c r="G37" i="5"/>
  <c r="E37" i="5"/>
  <c r="C37" i="5"/>
  <c r="H36" i="5"/>
  <c r="F36" i="5"/>
  <c r="D36" i="5"/>
  <c r="G35" i="5"/>
  <c r="E35" i="5"/>
  <c r="C35" i="5"/>
  <c r="H34" i="5"/>
  <c r="F34" i="5"/>
  <c r="D34" i="5"/>
  <c r="G33" i="5"/>
  <c r="E33" i="5"/>
  <c r="C33" i="5"/>
  <c r="H78" i="4"/>
  <c r="F78" i="4"/>
  <c r="D78" i="4"/>
  <c r="B78" i="4"/>
  <c r="G77" i="4"/>
  <c r="E77" i="4"/>
  <c r="C77" i="4"/>
  <c r="A77" i="4"/>
  <c r="H76" i="4"/>
  <c r="F76" i="4"/>
  <c r="D76" i="4"/>
  <c r="B76" i="4"/>
  <c r="G75" i="4"/>
  <c r="E75" i="4"/>
  <c r="C75" i="4"/>
  <c r="A75" i="4"/>
  <c r="H74" i="4"/>
  <c r="F74" i="4"/>
  <c r="D74" i="4"/>
  <c r="B74" i="4"/>
  <c r="G73" i="4"/>
  <c r="E73" i="4"/>
  <c r="C73" i="4"/>
  <c r="A73" i="4"/>
  <c r="H72" i="4"/>
  <c r="F72" i="4"/>
  <c r="D72" i="4"/>
  <c r="B72" i="4"/>
  <c r="G71" i="4"/>
  <c r="E71" i="4"/>
  <c r="C71" i="4"/>
  <c r="A71" i="4"/>
  <c r="H70" i="4"/>
  <c r="F70" i="4"/>
  <c r="D70" i="4"/>
  <c r="B70" i="4"/>
  <c r="G69" i="4"/>
  <c r="E69" i="4"/>
  <c r="C69" i="4"/>
  <c r="A69" i="4"/>
  <c r="H68" i="4"/>
  <c r="F68" i="4"/>
  <c r="D68" i="4"/>
  <c r="B68" i="4"/>
  <c r="G67" i="4"/>
  <c r="E67" i="4"/>
  <c r="C67" i="4"/>
  <c r="A67" i="4"/>
  <c r="H66" i="4"/>
  <c r="F66" i="4"/>
  <c r="D66" i="4"/>
  <c r="B66" i="4"/>
  <c r="G65" i="4"/>
  <c r="E65" i="4"/>
  <c r="C65" i="4"/>
  <c r="A65" i="4"/>
  <c r="H64" i="4"/>
  <c r="F64" i="4"/>
  <c r="D64" i="4"/>
  <c r="B64" i="4"/>
  <c r="G63" i="4"/>
  <c r="B179" i="12" s="1" a="1"/>
  <c r="E63" i="4"/>
  <c r="B163" i="12" s="1" a="1"/>
  <c r="C63" i="4"/>
  <c r="A63" i="4"/>
  <c r="H59" i="4"/>
  <c r="F59" i="4"/>
  <c r="D59" i="4"/>
  <c r="B59" i="4"/>
  <c r="G58" i="4"/>
  <c r="E58" i="4"/>
  <c r="C58" i="4"/>
  <c r="A58" i="4"/>
  <c r="H57" i="4"/>
  <c r="F57" i="4"/>
  <c r="D57" i="4"/>
  <c r="B57" i="4"/>
  <c r="G56" i="4"/>
  <c r="E56" i="4"/>
  <c r="C56" i="4"/>
  <c r="A56" i="4"/>
  <c r="H55" i="4"/>
  <c r="F55" i="4"/>
  <c r="D55" i="4"/>
  <c r="B55" i="4"/>
  <c r="G54" i="4"/>
  <c r="E54" i="4"/>
  <c r="C54" i="4"/>
  <c r="A54" i="4"/>
  <c r="H53" i="4"/>
  <c r="F53" i="4"/>
  <c r="D53" i="4"/>
  <c r="B53" i="4"/>
  <c r="G52" i="4"/>
  <c r="E52" i="4"/>
  <c r="B83" i="11" s="1" a="1"/>
  <c r="C52" i="4"/>
  <c r="A52" i="4"/>
  <c r="H48" i="4"/>
  <c r="F48" i="4"/>
  <c r="D48" i="4"/>
  <c r="B48" i="4"/>
  <c r="G47" i="4"/>
  <c r="E47" i="4"/>
  <c r="C47" i="4"/>
  <c r="A47" i="4"/>
  <c r="H46" i="4"/>
  <c r="F46" i="4"/>
  <c r="D46" i="4"/>
  <c r="B46" i="4"/>
  <c r="G45" i="4"/>
  <c r="E45" i="4"/>
  <c r="C45" i="4"/>
  <c r="A45" i="4"/>
  <c r="H44" i="4"/>
  <c r="F44" i="4"/>
  <c r="D44" i="4"/>
  <c r="B44" i="4"/>
  <c r="G43" i="4"/>
  <c r="E43" i="4"/>
  <c r="C43" i="4"/>
  <c r="A43" i="4"/>
  <c r="H42" i="4"/>
  <c r="F42" i="4"/>
  <c r="D42" i="4"/>
  <c r="B42" i="4"/>
  <c r="G41" i="4"/>
  <c r="E41" i="4"/>
  <c r="C41" i="4"/>
  <c r="H40" i="4"/>
  <c r="F40" i="4"/>
  <c r="D40" i="4"/>
  <c r="B40" i="4"/>
  <c r="G39" i="4"/>
  <c r="E39" i="4"/>
  <c r="C39" i="4"/>
  <c r="A39" i="4"/>
  <c r="H38" i="4"/>
  <c r="F38" i="4"/>
  <c r="D38" i="4"/>
  <c r="B38" i="4"/>
  <c r="G37" i="4"/>
  <c r="E37" i="4"/>
  <c r="C37" i="4"/>
  <c r="A37" i="4"/>
  <c r="H36" i="4"/>
  <c r="F36" i="4"/>
  <c r="D36" i="4"/>
  <c r="B36" i="4"/>
  <c r="G35" i="4"/>
  <c r="E35" i="4"/>
  <c r="C35" i="4"/>
  <c r="A35" i="4"/>
  <c r="H34" i="4"/>
  <c r="F34" i="4"/>
  <c r="D34" i="4"/>
  <c r="B34" i="4"/>
  <c r="G33" i="4"/>
  <c r="E33" i="4"/>
  <c r="B163" i="3" s="1" a="1"/>
  <c r="C33" i="4"/>
  <c r="A33" i="4"/>
  <c r="H59" i="1"/>
  <c r="F59" i="1"/>
  <c r="D59" i="1"/>
  <c r="B59" i="1"/>
  <c r="H57" i="1"/>
  <c r="F57" i="1"/>
  <c r="D57" i="1"/>
  <c r="B57" i="1"/>
  <c r="H55" i="1"/>
  <c r="F55" i="1"/>
  <c r="D55" i="1"/>
  <c r="B55" i="1"/>
  <c r="H53" i="1"/>
  <c r="F53" i="1"/>
  <c r="D53" i="1"/>
  <c r="B53" i="1"/>
  <c r="H48" i="1"/>
  <c r="F48" i="1"/>
  <c r="D48" i="1"/>
  <c r="B48" i="1"/>
  <c r="H46" i="1"/>
  <c r="F46" i="1"/>
  <c r="D46" i="1"/>
  <c r="B46" i="1"/>
  <c r="H44" i="1"/>
  <c r="F44" i="1"/>
  <c r="D44" i="1"/>
  <c r="B44" i="1"/>
  <c r="H42" i="1"/>
  <c r="F42" i="1"/>
  <c r="D42" i="1"/>
  <c r="B42" i="1"/>
  <c r="H40" i="1"/>
  <c r="F40" i="1"/>
  <c r="D40" i="1"/>
  <c r="B40" i="1"/>
  <c r="H38" i="1"/>
  <c r="F38" i="1"/>
  <c r="D38" i="1"/>
  <c r="B38" i="1"/>
  <c r="H36" i="1"/>
  <c r="F36" i="1"/>
  <c r="D36" i="1"/>
  <c r="B36" i="1"/>
  <c r="H34" i="1"/>
  <c r="F34" i="1"/>
  <c r="D34" i="1"/>
  <c r="B34" i="1"/>
  <c r="H78" i="1"/>
  <c r="F78" i="1"/>
  <c r="D78" i="1"/>
  <c r="B78" i="1"/>
  <c r="G77" i="1"/>
  <c r="E77" i="1"/>
  <c r="C77" i="1"/>
  <c r="A77" i="1"/>
  <c r="H76" i="1"/>
  <c r="F76" i="1"/>
  <c r="D76" i="1"/>
  <c r="B76" i="1"/>
  <c r="G75" i="1"/>
  <c r="E75" i="1"/>
  <c r="C75" i="1"/>
  <c r="A75" i="1"/>
  <c r="H74" i="1"/>
  <c r="F74" i="1"/>
  <c r="D74" i="1"/>
  <c r="B74" i="1"/>
  <c r="G73" i="1"/>
  <c r="E73" i="1"/>
  <c r="C73" i="1"/>
  <c r="A73" i="1"/>
  <c r="H72" i="1"/>
  <c r="F72" i="1"/>
  <c r="D72" i="1"/>
  <c r="B72" i="1"/>
  <c r="G71" i="1"/>
  <c r="E71" i="1"/>
  <c r="C71" i="1"/>
  <c r="A71" i="1"/>
  <c r="H70" i="1"/>
  <c r="F70" i="1"/>
  <c r="D70" i="1"/>
  <c r="B70" i="1"/>
  <c r="G69" i="1"/>
  <c r="E69" i="1"/>
  <c r="C69" i="1"/>
  <c r="A69" i="1"/>
  <c r="H68" i="1"/>
  <c r="F68" i="1"/>
  <c r="D68" i="1"/>
  <c r="B68" i="1"/>
  <c r="G67" i="1"/>
  <c r="E67" i="1"/>
  <c r="C67" i="1"/>
  <c r="A67" i="1"/>
  <c r="H66" i="1"/>
  <c r="F66" i="1"/>
  <c r="D66" i="1"/>
  <c r="B66" i="1"/>
  <c r="G65" i="1"/>
  <c r="E65" i="1"/>
  <c r="C65" i="1"/>
  <c r="A65" i="1"/>
  <c r="H64" i="1"/>
  <c r="F64" i="1"/>
  <c r="D64" i="1"/>
  <c r="B64" i="1"/>
  <c r="G63" i="1"/>
  <c r="E63" i="1"/>
  <c r="C63" i="1"/>
  <c r="A63" i="1"/>
  <c r="B99" i="12" l="1" a="1"/>
  <c r="E101" i="12" s="1"/>
  <c r="B131" i="11" a="1"/>
  <c r="E132" i="11" s="1"/>
  <c r="B291" i="12" a="1"/>
  <c r="E302" i="12" s="1"/>
  <c r="B147" i="11" a="1"/>
  <c r="E154" i="11" s="1"/>
  <c r="B163" i="11" a="1"/>
  <c r="E170" i="11" s="1"/>
  <c r="B179" i="11" a="1"/>
  <c r="E185" i="11" s="1"/>
  <c r="B355" i="12" a="1"/>
  <c r="E366" i="12" s="1"/>
  <c r="B187" i="11" a="1"/>
  <c r="E193" i="11" s="1"/>
  <c r="B371" i="12" a="1"/>
  <c r="E377" i="12" s="1"/>
  <c r="B211" i="11" a="1"/>
  <c r="E218" i="11" s="1"/>
  <c r="B419" i="12" a="1"/>
  <c r="E432" i="12" s="1"/>
  <c r="B203" i="11" a="1"/>
  <c r="B203" i="11" s="1"/>
  <c r="E203" i="11" s="1"/>
  <c r="B227" i="11" a="1"/>
  <c r="E228" i="11" s="1"/>
  <c r="B467" i="12" a="1"/>
  <c r="E475" i="12" s="1"/>
  <c r="B131" i="12" a="1"/>
  <c r="E132" i="12" s="1"/>
  <c r="B67" i="11" a="1"/>
  <c r="B67" i="11" s="1"/>
  <c r="E67" i="11" s="1"/>
  <c r="B75" i="11" a="1"/>
  <c r="E76" i="11" s="1"/>
  <c r="B147" i="12" a="1"/>
  <c r="B115" i="12" a="1"/>
  <c r="E120" i="12" s="1"/>
  <c r="B83" i="12" a="1"/>
  <c r="E92" i="12" s="1"/>
  <c r="B251" i="11" a="1"/>
  <c r="E254" i="11" s="1"/>
  <c r="B131" i="3" a="1"/>
  <c r="B131" i="3" s="1"/>
  <c r="E131" i="3" s="1"/>
  <c r="B35" i="3" a="1"/>
  <c r="E45" i="3" s="1"/>
  <c r="B435" i="3" a="1"/>
  <c r="E449" i="3" s="1"/>
  <c r="B147" i="3" a="1"/>
  <c r="B147" i="3" s="1"/>
  <c r="B91" i="11" a="1"/>
  <c r="E98" i="11" s="1"/>
  <c r="B179" i="3" a="1"/>
  <c r="E190" i="3" s="1"/>
  <c r="B67" i="12" a="1"/>
  <c r="E75" i="12" s="1"/>
  <c r="B483" i="3" a="1"/>
  <c r="E492" i="3" s="1"/>
  <c r="B499" i="3" a="1"/>
  <c r="E504" i="3" s="1"/>
  <c r="B35" i="12" a="1"/>
  <c r="E40" i="12" s="1"/>
  <c r="B3" i="11" a="1"/>
  <c r="B3" i="11" s="1"/>
  <c r="E3" i="11" s="1"/>
  <c r="B195" i="11" a="1"/>
  <c r="E198" i="11" s="1"/>
  <c r="B155" i="11" a="1"/>
  <c r="B155" i="11" s="1"/>
  <c r="E155" i="11" s="1"/>
  <c r="B19" i="12" a="1"/>
  <c r="B19" i="12" s="1"/>
  <c r="E19" i="12" s="1"/>
  <c r="B51" i="3" a="1"/>
  <c r="E57" i="3" s="1"/>
  <c r="B11" i="11" a="1"/>
  <c r="E16" i="11" s="1"/>
  <c r="B371" i="3" a="1"/>
  <c r="E383" i="3" s="1"/>
  <c r="B355" i="3" a="1"/>
  <c r="E364" i="3" s="1"/>
  <c r="B339" i="12" a="1"/>
  <c r="E351" i="12" s="1"/>
  <c r="B339" i="3" a="1"/>
  <c r="E343" i="3" s="1"/>
  <c r="B171" i="11" a="1"/>
  <c r="E178" i="11" s="1"/>
  <c r="B323" i="12" a="1"/>
  <c r="E327" i="12" s="1"/>
  <c r="B323" i="3" a="1"/>
  <c r="E326" i="3" s="1"/>
  <c r="B219" i="11" a="1"/>
  <c r="E221" i="11" s="1"/>
  <c r="B435" i="12" a="1"/>
  <c r="E448" i="12" s="1"/>
  <c r="B419" i="3" a="1"/>
  <c r="E431" i="3" s="1"/>
  <c r="B403" i="3" a="1"/>
  <c r="E415" i="3" s="1"/>
  <c r="B403" i="12" a="1"/>
  <c r="E415" i="12" s="1"/>
  <c r="B387" i="12" a="1"/>
  <c r="B387" i="12" s="1"/>
  <c r="B387" i="3" a="1"/>
  <c r="E401" i="3" s="1"/>
  <c r="B275" i="12" a="1"/>
  <c r="E287" i="12" s="1"/>
  <c r="B259" i="12" a="1"/>
  <c r="E271" i="12" s="1"/>
  <c r="B259" i="3" a="1"/>
  <c r="E270" i="3" s="1"/>
  <c r="B307" i="3" a="1"/>
  <c r="E310" i="3" s="1"/>
  <c r="B307" i="12" a="1"/>
  <c r="E311" i="12" s="1"/>
  <c r="B291" i="3" a="1"/>
  <c r="E299" i="3" s="1"/>
  <c r="B275" i="3" a="1"/>
  <c r="B275" i="3" s="1"/>
  <c r="E275" i="3" s="1"/>
  <c r="B139" i="11" a="1"/>
  <c r="E140" i="11" s="1"/>
  <c r="B467" i="3" a="1"/>
  <c r="E468" i="3" s="1"/>
  <c r="B235" i="11" a="1"/>
  <c r="B235" i="11" s="1"/>
  <c r="E235" i="11" s="1"/>
  <c r="B451" i="3" a="1"/>
  <c r="E455" i="3" s="1"/>
  <c r="B451" i="12" a="1"/>
  <c r="E455" i="12" s="1"/>
  <c r="B19" i="11" a="1"/>
  <c r="E23" i="11" s="1"/>
  <c r="B3" i="3" a="1"/>
  <c r="E9" i="3" s="1"/>
  <c r="E234" i="11"/>
  <c r="E479" i="12"/>
  <c r="E468" i="12"/>
  <c r="E473" i="12"/>
  <c r="E477" i="12"/>
  <c r="E391" i="12"/>
  <c r="E396" i="12"/>
  <c r="E423" i="12"/>
  <c r="E427" i="12"/>
  <c r="E431" i="12"/>
  <c r="E420" i="12"/>
  <c r="E424" i="12"/>
  <c r="E428" i="12"/>
  <c r="E422" i="12"/>
  <c r="E421" i="12"/>
  <c r="E425" i="12"/>
  <c r="E429" i="12"/>
  <c r="E433" i="12"/>
  <c r="E426" i="12"/>
  <c r="E166" i="11"/>
  <c r="E164" i="11"/>
  <c r="E168" i="11"/>
  <c r="E165" i="11"/>
  <c r="B291" i="12"/>
  <c r="E291" i="12" s="1"/>
  <c r="E295" i="12"/>
  <c r="E299" i="12"/>
  <c r="E303" i="12"/>
  <c r="E292" i="12"/>
  <c r="E304" i="12"/>
  <c r="E293" i="12"/>
  <c r="E297" i="12"/>
  <c r="E301" i="12"/>
  <c r="E294" i="12"/>
  <c r="E138" i="11"/>
  <c r="E135" i="11"/>
  <c r="E133" i="11"/>
  <c r="B147" i="11"/>
  <c r="E147" i="11" s="1"/>
  <c r="E150" i="11"/>
  <c r="E153" i="11"/>
  <c r="E148" i="11"/>
  <c r="E152" i="11"/>
  <c r="E149" i="11"/>
  <c r="B243" i="3" a="1"/>
  <c r="E246" i="3" s="1"/>
  <c r="B107" i="11" a="1"/>
  <c r="B211" i="12" a="1"/>
  <c r="B227" i="12" a="1"/>
  <c r="B211" i="3" a="1"/>
  <c r="E214" i="3" s="1"/>
  <c r="B227" i="3" a="1"/>
  <c r="B227" i="3" s="1"/>
  <c r="E227" i="3" s="1"/>
  <c r="B243" i="12" a="1"/>
  <c r="B147" i="12"/>
  <c r="E147" i="12" s="1"/>
  <c r="E151" i="12"/>
  <c r="E155" i="12"/>
  <c r="E159" i="12"/>
  <c r="E148" i="12"/>
  <c r="E152" i="12"/>
  <c r="E156" i="12"/>
  <c r="E160" i="12"/>
  <c r="E149" i="12"/>
  <c r="E153" i="12"/>
  <c r="E157" i="12"/>
  <c r="E161" i="12"/>
  <c r="E154" i="12"/>
  <c r="E158" i="12"/>
  <c r="E162" i="12"/>
  <c r="E150" i="12"/>
  <c r="B83" i="11"/>
  <c r="E83" i="11" s="1"/>
  <c r="E86" i="11"/>
  <c r="E90" i="11"/>
  <c r="E87" i="11"/>
  <c r="E84" i="11"/>
  <c r="E88" i="11"/>
  <c r="E89" i="11"/>
  <c r="E85" i="11"/>
  <c r="B163" i="12"/>
  <c r="E163" i="12" s="1"/>
  <c r="E167" i="12"/>
  <c r="E171" i="12"/>
  <c r="E175" i="12"/>
  <c r="E164" i="12"/>
  <c r="E168" i="12"/>
  <c r="E172" i="12"/>
  <c r="E176" i="12"/>
  <c r="E165" i="12"/>
  <c r="E169" i="12"/>
  <c r="E173" i="12"/>
  <c r="E177" i="12"/>
  <c r="E166" i="12"/>
  <c r="E170" i="12"/>
  <c r="E174" i="12"/>
  <c r="E178" i="12"/>
  <c r="B179" i="12"/>
  <c r="E179" i="12" s="1"/>
  <c r="E183" i="12"/>
  <c r="E187" i="12"/>
  <c r="E191" i="12"/>
  <c r="E180" i="12"/>
  <c r="E184" i="12"/>
  <c r="E188" i="12"/>
  <c r="E192" i="12"/>
  <c r="E181" i="12"/>
  <c r="E185" i="12"/>
  <c r="E193" i="12"/>
  <c r="E182" i="12"/>
  <c r="E186" i="12"/>
  <c r="E190" i="12"/>
  <c r="E194" i="12"/>
  <c r="E189" i="12"/>
  <c r="E79" i="11"/>
  <c r="E135" i="12"/>
  <c r="E139" i="12"/>
  <c r="E143" i="12"/>
  <c r="E137" i="12"/>
  <c r="E141" i="12"/>
  <c r="E145" i="12"/>
  <c r="E73" i="11"/>
  <c r="B3" i="12" a="1"/>
  <c r="B19" i="3" a="1"/>
  <c r="B19" i="3" s="1"/>
  <c r="E19" i="3" s="1"/>
  <c r="B51" i="12"/>
  <c r="E51" i="12" s="1"/>
  <c r="E52" i="12"/>
  <c r="E56" i="12"/>
  <c r="E60" i="12"/>
  <c r="E64" i="12"/>
  <c r="E55" i="12"/>
  <c r="E53" i="12"/>
  <c r="E57" i="12"/>
  <c r="E61" i="12"/>
  <c r="E65" i="12"/>
  <c r="E63" i="12"/>
  <c r="E54" i="12"/>
  <c r="E58" i="12"/>
  <c r="E62" i="12"/>
  <c r="E66" i="12"/>
  <c r="E59" i="12"/>
  <c r="E50" i="12"/>
  <c r="B499" i="12" a="1"/>
  <c r="E253" i="11"/>
  <c r="E257" i="11"/>
  <c r="B243" i="11" a="1"/>
  <c r="B483" i="12" a="1"/>
  <c r="B163" i="3"/>
  <c r="E163" i="3" s="1"/>
  <c r="E166" i="3"/>
  <c r="E170" i="3"/>
  <c r="E174" i="3"/>
  <c r="E178" i="3"/>
  <c r="E167" i="3"/>
  <c r="E172" i="3"/>
  <c r="E177" i="3"/>
  <c r="E164" i="3"/>
  <c r="E171" i="3"/>
  <c r="E165" i="3"/>
  <c r="E173" i="3"/>
  <c r="E176" i="3"/>
  <c r="E168" i="3"/>
  <c r="E169" i="3"/>
  <c r="E175" i="3"/>
  <c r="E421" i="3"/>
  <c r="E485" i="3"/>
  <c r="E41" i="3"/>
  <c r="E49" i="3"/>
  <c r="E38" i="3"/>
  <c r="E42" i="3"/>
  <c r="E39" i="3"/>
  <c r="E47" i="3"/>
  <c r="E36" i="3"/>
  <c r="E48" i="3"/>
  <c r="E186" i="3"/>
  <c r="E183" i="3"/>
  <c r="E188" i="3"/>
  <c r="E193" i="3"/>
  <c r="E192" i="3"/>
  <c r="E187" i="3"/>
  <c r="E181" i="3"/>
  <c r="E184" i="3"/>
  <c r="E393" i="3"/>
  <c r="E135" i="3"/>
  <c r="E140" i="3"/>
  <c r="E132" i="3"/>
  <c r="B115" i="11" a="1"/>
  <c r="B123" i="11" a="1"/>
  <c r="B27" i="11" a="1"/>
  <c r="A77" i="5"/>
  <c r="A75" i="5"/>
  <c r="A73" i="5"/>
  <c r="A71" i="5"/>
  <c r="A69" i="5"/>
  <c r="A67" i="5"/>
  <c r="A63" i="5"/>
  <c r="B57" i="5"/>
  <c r="A54" i="5"/>
  <c r="A47" i="5"/>
  <c r="B44" i="5"/>
  <c r="B40" i="5"/>
  <c r="B36" i="5"/>
  <c r="B76" i="5"/>
  <c r="A65" i="5"/>
  <c r="A56" i="5"/>
  <c r="A52" i="5"/>
  <c r="B46" i="5"/>
  <c r="A43" i="5"/>
  <c r="B38" i="5"/>
  <c r="A35" i="5"/>
  <c r="B78" i="5"/>
  <c r="B74" i="5"/>
  <c r="B72" i="5"/>
  <c r="B70" i="5"/>
  <c r="B68" i="5"/>
  <c r="B66" i="5"/>
  <c r="B64" i="5"/>
  <c r="B59" i="5"/>
  <c r="A58" i="5"/>
  <c r="B55" i="5"/>
  <c r="B53" i="5"/>
  <c r="B48" i="5"/>
  <c r="A45" i="5"/>
  <c r="B42" i="5"/>
  <c r="A39" i="5"/>
  <c r="A37" i="5"/>
  <c r="B34" i="5"/>
  <c r="A33" i="5"/>
  <c r="A47" i="1"/>
  <c r="A45" i="1"/>
  <c r="A43" i="1"/>
  <c r="A39" i="1"/>
  <c r="A37" i="1"/>
  <c r="A35" i="1"/>
  <c r="A33" i="1"/>
  <c r="G58" i="1"/>
  <c r="E58" i="1"/>
  <c r="C58" i="1"/>
  <c r="A58" i="1"/>
  <c r="G56" i="1"/>
  <c r="E56" i="1"/>
  <c r="C56" i="1"/>
  <c r="A56" i="1"/>
  <c r="G54" i="1"/>
  <c r="E54" i="1"/>
  <c r="C54" i="1"/>
  <c r="A54" i="1"/>
  <c r="G52" i="1"/>
  <c r="E52" i="1"/>
  <c r="C52" i="1"/>
  <c r="A52" i="1"/>
  <c r="G47" i="1"/>
  <c r="E47" i="1"/>
  <c r="C47" i="1"/>
  <c r="G45" i="1"/>
  <c r="E45" i="1"/>
  <c r="C45" i="1"/>
  <c r="G43" i="1"/>
  <c r="E43" i="1"/>
  <c r="C43" i="1"/>
  <c r="G41" i="1"/>
  <c r="E41" i="1"/>
  <c r="C41" i="1"/>
  <c r="G39" i="1"/>
  <c r="E39" i="1"/>
  <c r="C39" i="1"/>
  <c r="G37" i="1"/>
  <c r="E37" i="1"/>
  <c r="C37" i="1"/>
  <c r="G35" i="1"/>
  <c r="E35" i="1"/>
  <c r="C35" i="1"/>
  <c r="G33" i="1"/>
  <c r="E33" i="1"/>
  <c r="C33" i="1"/>
  <c r="E44" i="12" l="1"/>
  <c r="E434" i="12"/>
  <c r="E436" i="3"/>
  <c r="E442" i="3"/>
  <c r="E440" i="3"/>
  <c r="E444" i="3"/>
  <c r="E443" i="3"/>
  <c r="E447" i="12"/>
  <c r="E446" i="3"/>
  <c r="E445" i="3"/>
  <c r="E439" i="3"/>
  <c r="B435" i="12"/>
  <c r="E435" i="12" s="1"/>
  <c r="E207" i="11"/>
  <c r="E209" i="11"/>
  <c r="E103" i="12"/>
  <c r="E108" i="12"/>
  <c r="B99" i="12"/>
  <c r="E99" i="12" s="1"/>
  <c r="E114" i="12"/>
  <c r="E104" i="12"/>
  <c r="E107" i="12"/>
  <c r="E112" i="12"/>
  <c r="E106" i="12"/>
  <c r="E100" i="12"/>
  <c r="E105" i="12"/>
  <c r="B51" i="11" a="1"/>
  <c r="E54" i="11" s="1"/>
  <c r="E102" i="12"/>
  <c r="E110" i="12"/>
  <c r="E113" i="12"/>
  <c r="E109" i="12"/>
  <c r="E111" i="12"/>
  <c r="E189" i="11"/>
  <c r="E372" i="12"/>
  <c r="E382" i="12"/>
  <c r="E379" i="12"/>
  <c r="E381" i="12"/>
  <c r="B371" i="12"/>
  <c r="E371" i="12" s="1"/>
  <c r="E380" i="12"/>
  <c r="E188" i="11"/>
  <c r="E376" i="12"/>
  <c r="E386" i="12"/>
  <c r="E378" i="12"/>
  <c r="E374" i="12"/>
  <c r="E360" i="12"/>
  <c r="E359" i="12"/>
  <c r="E362" i="12"/>
  <c r="E430" i="12"/>
  <c r="E442" i="12"/>
  <c r="E375" i="12"/>
  <c r="B419" i="12"/>
  <c r="E419" i="12" s="1"/>
  <c r="E383" i="12"/>
  <c r="B163" i="11"/>
  <c r="E163" i="11" s="1"/>
  <c r="E373" i="12"/>
  <c r="E385" i="12"/>
  <c r="E384" i="12"/>
  <c r="E357" i="12"/>
  <c r="B355" i="12"/>
  <c r="E355" i="12" s="1"/>
  <c r="E180" i="11"/>
  <c r="E182" i="11"/>
  <c r="E181" i="11"/>
  <c r="E356" i="12"/>
  <c r="E358" i="12"/>
  <c r="E361" i="12"/>
  <c r="E450" i="3"/>
  <c r="E194" i="3"/>
  <c r="E395" i="3"/>
  <c r="E441" i="3"/>
  <c r="E447" i="3"/>
  <c r="E185" i="3"/>
  <c r="E43" i="3"/>
  <c r="E37" i="3"/>
  <c r="B435" i="3"/>
  <c r="E435" i="3" s="1"/>
  <c r="E46" i="3"/>
  <c r="E184" i="11"/>
  <c r="E82" i="11"/>
  <c r="E96" i="11"/>
  <c r="E256" i="11"/>
  <c r="E72" i="11"/>
  <c r="E169" i="11"/>
  <c r="B179" i="11"/>
  <c r="E179" i="11" s="1"/>
  <c r="E252" i="11"/>
  <c r="E206" i="11"/>
  <c r="E155" i="3"/>
  <c r="E156" i="3"/>
  <c r="E147" i="3"/>
  <c r="E149" i="3"/>
  <c r="E69" i="11"/>
  <c r="E97" i="11"/>
  <c r="E137" i="11"/>
  <c r="E191" i="11"/>
  <c r="B211" i="11"/>
  <c r="E211" i="11" s="1"/>
  <c r="E217" i="11"/>
  <c r="E134" i="11"/>
  <c r="E192" i="11"/>
  <c r="E216" i="11"/>
  <c r="E68" i="11"/>
  <c r="E92" i="11"/>
  <c r="E12" i="11"/>
  <c r="E71" i="11"/>
  <c r="E95" i="11"/>
  <c r="B131" i="11"/>
  <c r="E131" i="11" s="1"/>
  <c r="E194" i="11"/>
  <c r="E212" i="11"/>
  <c r="E190" i="11"/>
  <c r="E70" i="11"/>
  <c r="B91" i="11"/>
  <c r="E91" i="11" s="1"/>
  <c r="E136" i="11"/>
  <c r="B187" i="11"/>
  <c r="E187" i="11" s="1"/>
  <c r="E213" i="11"/>
  <c r="E74" i="11"/>
  <c r="E94" i="11"/>
  <c r="E214" i="11"/>
  <c r="E215" i="11"/>
  <c r="E204" i="11"/>
  <c r="E231" i="11"/>
  <c r="E78" i="11"/>
  <c r="E208" i="11"/>
  <c r="B75" i="11"/>
  <c r="E75" i="11" s="1"/>
  <c r="E81" i="11"/>
  <c r="E205" i="11"/>
  <c r="E77" i="11"/>
  <c r="E80" i="11"/>
  <c r="E210" i="11"/>
  <c r="E233" i="11"/>
  <c r="E157" i="11"/>
  <c r="E437" i="3"/>
  <c r="E438" i="3"/>
  <c r="E180" i="3"/>
  <c r="E182" i="3"/>
  <c r="E448" i="3"/>
  <c r="E433" i="3"/>
  <c r="E151" i="11"/>
  <c r="E306" i="12"/>
  <c r="E300" i="12"/>
  <c r="E298" i="12"/>
  <c r="E296" i="12"/>
  <c r="E305" i="12"/>
  <c r="E167" i="11"/>
  <c r="E365" i="12"/>
  <c r="E369" i="12"/>
  <c r="E183" i="11"/>
  <c r="E368" i="12"/>
  <c r="E367" i="12"/>
  <c r="E364" i="12"/>
  <c r="E363" i="12"/>
  <c r="E186" i="11"/>
  <c r="E370" i="12"/>
  <c r="E202" i="11"/>
  <c r="E401" i="12"/>
  <c r="E389" i="12"/>
  <c r="E478" i="12"/>
  <c r="E471" i="12"/>
  <c r="B251" i="11"/>
  <c r="E251" i="11" s="1"/>
  <c r="E470" i="12"/>
  <c r="B467" i="12"/>
  <c r="E467" i="12" s="1"/>
  <c r="E230" i="11"/>
  <c r="E469" i="12"/>
  <c r="E506" i="3"/>
  <c r="E482" i="12"/>
  <c r="E480" i="12"/>
  <c r="E229" i="11"/>
  <c r="B227" i="11"/>
  <c r="E227" i="11" s="1"/>
  <c r="E508" i="3"/>
  <c r="E486" i="3"/>
  <c r="E491" i="3"/>
  <c r="E258" i="11"/>
  <c r="E474" i="12"/>
  <c r="E476" i="12"/>
  <c r="E232" i="11"/>
  <c r="B499" i="3"/>
  <c r="E499" i="3" s="1"/>
  <c r="E255" i="11"/>
  <c r="E489" i="3"/>
  <c r="E481" i="12"/>
  <c r="E472" i="12"/>
  <c r="E514" i="3"/>
  <c r="E510" i="3"/>
  <c r="E189" i="3"/>
  <c r="B179" i="3"/>
  <c r="E179" i="3" s="1"/>
  <c r="E50" i="3"/>
  <c r="B35" i="3"/>
  <c r="E35" i="3" s="1"/>
  <c r="E427" i="3"/>
  <c r="E513" i="3"/>
  <c r="E191" i="3"/>
  <c r="E44" i="3"/>
  <c r="E312" i="3"/>
  <c r="E509" i="3"/>
  <c r="E392" i="3"/>
  <c r="E512" i="3"/>
  <c r="E40" i="3"/>
  <c r="E420" i="3"/>
  <c r="E251" i="3"/>
  <c r="B243" i="3"/>
  <c r="E243" i="3" s="1"/>
  <c r="B211" i="3"/>
  <c r="E211" i="3" s="1"/>
  <c r="E141" i="3"/>
  <c r="E144" i="3"/>
  <c r="E142" i="3"/>
  <c r="E133" i="12"/>
  <c r="B131" i="12"/>
  <c r="E131" i="12" s="1"/>
  <c r="E137" i="3"/>
  <c r="E138" i="3"/>
  <c r="E138" i="12"/>
  <c r="E144" i="12"/>
  <c r="E146" i="3"/>
  <c r="E143" i="3"/>
  <c r="E134" i="3"/>
  <c r="E146" i="12"/>
  <c r="E140" i="12"/>
  <c r="E139" i="3"/>
  <c r="E133" i="3"/>
  <c r="E142" i="12"/>
  <c r="E136" i="12"/>
  <c r="E136" i="3"/>
  <c r="E145" i="3"/>
  <c r="E134" i="12"/>
  <c r="E118" i="12"/>
  <c r="E129" i="12"/>
  <c r="E125" i="12"/>
  <c r="E22" i="12"/>
  <c r="E20" i="12"/>
  <c r="E116" i="12"/>
  <c r="E126" i="12"/>
  <c r="E127" i="12"/>
  <c r="E121" i="12"/>
  <c r="E123" i="12"/>
  <c r="E117" i="12"/>
  <c r="E119" i="12"/>
  <c r="B59" i="11" a="1"/>
  <c r="E61" i="11" s="1"/>
  <c r="E128" i="12"/>
  <c r="B115" i="12"/>
  <c r="E115" i="12" s="1"/>
  <c r="E122" i="12"/>
  <c r="E124" i="12"/>
  <c r="E130" i="12"/>
  <c r="E84" i="12"/>
  <c r="E85" i="12"/>
  <c r="E98" i="12"/>
  <c r="E94" i="12"/>
  <c r="E86" i="12"/>
  <c r="E88" i="12"/>
  <c r="E89" i="12"/>
  <c r="E90" i="12"/>
  <c r="E95" i="12"/>
  <c r="E91" i="12"/>
  <c r="E97" i="12"/>
  <c r="E93" i="12"/>
  <c r="E87" i="12"/>
  <c r="B83" i="12"/>
  <c r="E83" i="12" s="1"/>
  <c r="E96" i="12"/>
  <c r="B43" i="11" a="1"/>
  <c r="E45" i="11" s="1"/>
  <c r="E507" i="3"/>
  <c r="E503" i="3"/>
  <c r="E501" i="3"/>
  <c r="E500" i="3"/>
  <c r="E502" i="3"/>
  <c r="E511" i="3"/>
  <c r="E505" i="3"/>
  <c r="E390" i="12"/>
  <c r="E395" i="12"/>
  <c r="E197" i="11"/>
  <c r="B195" i="11"/>
  <c r="E195" i="11" s="1"/>
  <c r="E201" i="11"/>
  <c r="E328" i="12"/>
  <c r="E160" i="3"/>
  <c r="E151" i="3"/>
  <c r="E93" i="11"/>
  <c r="E152" i="3"/>
  <c r="E161" i="3"/>
  <c r="E157" i="3"/>
  <c r="E148" i="3"/>
  <c r="E159" i="3"/>
  <c r="E153" i="3"/>
  <c r="E45" i="12"/>
  <c r="B451" i="12"/>
  <c r="E451" i="12" s="1"/>
  <c r="E454" i="12"/>
  <c r="E398" i="3"/>
  <c r="E400" i="3"/>
  <c r="E396" i="3"/>
  <c r="E391" i="3"/>
  <c r="E426" i="3"/>
  <c r="E434" i="3"/>
  <c r="E428" i="3"/>
  <c r="E423" i="3"/>
  <c r="E388" i="3"/>
  <c r="E389" i="3"/>
  <c r="E390" i="3"/>
  <c r="E425" i="3"/>
  <c r="E429" i="3"/>
  <c r="E422" i="3"/>
  <c r="B419" i="3"/>
  <c r="E419" i="3" s="1"/>
  <c r="E394" i="3"/>
  <c r="E397" i="3"/>
  <c r="E399" i="3"/>
  <c r="E430" i="3"/>
  <c r="E432" i="3"/>
  <c r="E424" i="3"/>
  <c r="E258" i="3"/>
  <c r="E226" i="3"/>
  <c r="E245" i="3"/>
  <c r="E213" i="3"/>
  <c r="E46" i="12"/>
  <c r="E41" i="12"/>
  <c r="E36" i="12"/>
  <c r="E42" i="12"/>
  <c r="E43" i="12"/>
  <c r="B35" i="12"/>
  <c r="E35" i="12" s="1"/>
  <c r="E47" i="12"/>
  <c r="E49" i="12"/>
  <c r="E48" i="12"/>
  <c r="E6" i="11"/>
  <c r="E8" i="11"/>
  <c r="E9" i="11"/>
  <c r="E10" i="11"/>
  <c r="E4" i="11"/>
  <c r="E162" i="3"/>
  <c r="E158" i="3"/>
  <c r="E150" i="3"/>
  <c r="E154" i="3"/>
  <c r="E219" i="3"/>
  <c r="E495" i="3"/>
  <c r="E488" i="3"/>
  <c r="E487" i="3"/>
  <c r="E484" i="3"/>
  <c r="B83" i="3" a="1"/>
  <c r="E93" i="3" s="1"/>
  <c r="E70" i="12"/>
  <c r="B35" i="11" a="1"/>
  <c r="E38" i="11" s="1"/>
  <c r="E81" i="12"/>
  <c r="E69" i="12"/>
  <c r="E68" i="12"/>
  <c r="E78" i="12"/>
  <c r="E76" i="12"/>
  <c r="E77" i="12"/>
  <c r="E74" i="12"/>
  <c r="E71" i="12"/>
  <c r="E80" i="12"/>
  <c r="E79" i="12"/>
  <c r="B67" i="12"/>
  <c r="E67" i="12" s="1"/>
  <c r="E82" i="12"/>
  <c r="E73" i="12"/>
  <c r="E72" i="12"/>
  <c r="E7" i="3"/>
  <c r="E6" i="3"/>
  <c r="E11" i="3"/>
  <c r="E5" i="3"/>
  <c r="E498" i="3"/>
  <c r="E497" i="3"/>
  <c r="E496" i="3"/>
  <c r="B483" i="3"/>
  <c r="E483" i="3" s="1"/>
  <c r="E494" i="3"/>
  <c r="E490" i="3"/>
  <c r="E493" i="3"/>
  <c r="E463" i="12"/>
  <c r="B171" i="11"/>
  <c r="E171" i="11" s="1"/>
  <c r="E200" i="11"/>
  <c r="E199" i="11"/>
  <c r="E156" i="11"/>
  <c r="E14" i="11"/>
  <c r="E196" i="11"/>
  <c r="E268" i="3"/>
  <c r="E238" i="3"/>
  <c r="E378" i="3"/>
  <c r="E232" i="3"/>
  <c r="E457" i="3"/>
  <c r="E262" i="3"/>
  <c r="E385" i="3"/>
  <c r="E237" i="3"/>
  <c r="E379" i="3"/>
  <c r="E241" i="3"/>
  <c r="E261" i="3"/>
  <c r="E384" i="3"/>
  <c r="E240" i="3"/>
  <c r="E229" i="3"/>
  <c r="E236" i="3"/>
  <c r="E234" i="3"/>
  <c r="E465" i="3"/>
  <c r="E260" i="3"/>
  <c r="E265" i="3"/>
  <c r="E263" i="3"/>
  <c r="B259" i="3"/>
  <c r="E259" i="3" s="1"/>
  <c r="E373" i="3"/>
  <c r="E386" i="3"/>
  <c r="E380" i="3"/>
  <c r="E375" i="3"/>
  <c r="E280" i="3"/>
  <c r="E239" i="3"/>
  <c r="E235" i="3"/>
  <c r="E231" i="3"/>
  <c r="E230" i="3"/>
  <c r="E454" i="3"/>
  <c r="E269" i="3"/>
  <c r="E271" i="3"/>
  <c r="E274" i="3"/>
  <c r="E382" i="3"/>
  <c r="E381" i="3"/>
  <c r="E374" i="3"/>
  <c r="B371" i="3"/>
  <c r="E371" i="3" s="1"/>
  <c r="E286" i="3"/>
  <c r="E233" i="3"/>
  <c r="E228" i="3"/>
  <c r="E242" i="3"/>
  <c r="B451" i="3"/>
  <c r="E451" i="3" s="1"/>
  <c r="E267" i="3"/>
  <c r="E264" i="3"/>
  <c r="E266" i="3"/>
  <c r="E377" i="3"/>
  <c r="E372" i="3"/>
  <c r="E376" i="3"/>
  <c r="E39" i="12"/>
  <c r="E38" i="12"/>
  <c r="E37" i="12"/>
  <c r="E27" i="12"/>
  <c r="E25" i="12"/>
  <c r="E15" i="11"/>
  <c r="E21" i="12"/>
  <c r="E23" i="12"/>
  <c r="E26" i="12"/>
  <c r="E24" i="12"/>
  <c r="E17" i="11"/>
  <c r="E5" i="11"/>
  <c r="E7" i="11"/>
  <c r="E34" i="12"/>
  <c r="E33" i="12"/>
  <c r="E32" i="12"/>
  <c r="E31" i="12"/>
  <c r="E30" i="12"/>
  <c r="E29" i="12"/>
  <c r="E28" i="12"/>
  <c r="E280" i="12"/>
  <c r="E321" i="12"/>
  <c r="E453" i="12"/>
  <c r="E456" i="12"/>
  <c r="B19" i="11"/>
  <c r="E19" i="11" s="1"/>
  <c r="E173" i="11"/>
  <c r="E64" i="3"/>
  <c r="E55" i="3"/>
  <c r="E54" i="3"/>
  <c r="E53" i="3"/>
  <c r="E312" i="12"/>
  <c r="B307" i="12"/>
  <c r="E307" i="12" s="1"/>
  <c r="E462" i="12"/>
  <c r="E24" i="11"/>
  <c r="E52" i="3"/>
  <c r="E66" i="3"/>
  <c r="E65" i="3"/>
  <c r="B51" i="3"/>
  <c r="E51" i="3" s="1"/>
  <c r="E59" i="3"/>
  <c r="E60" i="3"/>
  <c r="E62" i="3"/>
  <c r="E61" i="3"/>
  <c r="E416" i="3"/>
  <c r="E56" i="3"/>
  <c r="E63" i="3"/>
  <c r="E58" i="3"/>
  <c r="E466" i="12"/>
  <c r="E241" i="11"/>
  <c r="E240" i="11"/>
  <c r="E398" i="12"/>
  <c r="E402" i="12"/>
  <c r="E409" i="12"/>
  <c r="E404" i="12"/>
  <c r="E410" i="12"/>
  <c r="E405" i="12"/>
  <c r="E411" i="12"/>
  <c r="E414" i="12"/>
  <c r="E408" i="12"/>
  <c r="E222" i="11"/>
  <c r="E224" i="11"/>
  <c r="B219" i="11"/>
  <c r="E219" i="11" s="1"/>
  <c r="E223" i="11"/>
  <c r="E220" i="11"/>
  <c r="E226" i="11"/>
  <c r="E342" i="3"/>
  <c r="E172" i="11"/>
  <c r="E349" i="3"/>
  <c r="E341" i="3"/>
  <c r="E329" i="12"/>
  <c r="E333" i="12"/>
  <c r="E356" i="3"/>
  <c r="E357" i="3"/>
  <c r="E358" i="3"/>
  <c r="B355" i="3"/>
  <c r="E355" i="3" s="1"/>
  <c r="E362" i="3"/>
  <c r="E365" i="3"/>
  <c r="E367" i="3"/>
  <c r="E361" i="3"/>
  <c r="E360" i="3"/>
  <c r="E363" i="3"/>
  <c r="E366" i="3"/>
  <c r="E368" i="3"/>
  <c r="E369" i="3"/>
  <c r="E359" i="3"/>
  <c r="E272" i="3"/>
  <c r="E273" i="3"/>
  <c r="E265" i="12"/>
  <c r="E270" i="12"/>
  <c r="E264" i="12"/>
  <c r="E267" i="12"/>
  <c r="E301" i="3"/>
  <c r="E159" i="11"/>
  <c r="E158" i="11"/>
  <c r="E160" i="11"/>
  <c r="E162" i="11"/>
  <c r="E306" i="3"/>
  <c r="E161" i="11"/>
  <c r="E283" i="3"/>
  <c r="E285" i="3"/>
  <c r="E281" i="3"/>
  <c r="E277" i="3"/>
  <c r="E276" i="3"/>
  <c r="E279" i="3"/>
  <c r="E279" i="12"/>
  <c r="E313" i="12"/>
  <c r="E308" i="12"/>
  <c r="E309" i="12"/>
  <c r="E322" i="12"/>
  <c r="E318" i="12"/>
  <c r="E320" i="12"/>
  <c r="E310" i="12"/>
  <c r="E288" i="3"/>
  <c r="E287" i="3"/>
  <c r="E289" i="3"/>
  <c r="E289" i="12"/>
  <c r="E281" i="12"/>
  <c r="E276" i="12"/>
  <c r="B275" i="12"/>
  <c r="E275" i="12" s="1"/>
  <c r="E282" i="12"/>
  <c r="E277" i="12"/>
  <c r="E290" i="12"/>
  <c r="E278" i="12"/>
  <c r="E288" i="12"/>
  <c r="E283" i="12"/>
  <c r="E13" i="11"/>
  <c r="B11" i="11"/>
  <c r="E11" i="11" s="1"/>
  <c r="E18" i="11"/>
  <c r="E333" i="3"/>
  <c r="E22" i="11"/>
  <c r="E20" i="11"/>
  <c r="E239" i="11"/>
  <c r="E25" i="11"/>
  <c r="E26" i="11"/>
  <c r="E242" i="11"/>
  <c r="E21" i="11"/>
  <c r="E482" i="3"/>
  <c r="E410" i="3"/>
  <c r="E328" i="3"/>
  <c r="E480" i="3"/>
  <c r="E417" i="3"/>
  <c r="E338" i="3"/>
  <c r="E481" i="3"/>
  <c r="B467" i="3"/>
  <c r="E467" i="3" s="1"/>
  <c r="E411" i="3"/>
  <c r="E331" i="3"/>
  <c r="B323" i="3"/>
  <c r="E323" i="3" s="1"/>
  <c r="E347" i="12"/>
  <c r="E350" i="3"/>
  <c r="E350" i="12"/>
  <c r="E177" i="11"/>
  <c r="E176" i="11"/>
  <c r="E352" i="12"/>
  <c r="E346" i="12"/>
  <c r="E342" i="12"/>
  <c r="E348" i="12"/>
  <c r="E353" i="12"/>
  <c r="E343" i="12"/>
  <c r="E175" i="11"/>
  <c r="E174" i="11"/>
  <c r="E349" i="12"/>
  <c r="E344" i="12"/>
  <c r="E345" i="12"/>
  <c r="B339" i="12"/>
  <c r="E339" i="12" s="1"/>
  <c r="E354" i="12"/>
  <c r="E341" i="12"/>
  <c r="E340" i="12"/>
  <c r="E22" i="3"/>
  <c r="E23" i="3"/>
  <c r="E32" i="3"/>
  <c r="E29" i="3"/>
  <c r="E24" i="3"/>
  <c r="E31" i="3"/>
  <c r="E345" i="3"/>
  <c r="E344" i="3"/>
  <c r="E351" i="3"/>
  <c r="B339" i="3"/>
  <c r="E339" i="3" s="1"/>
  <c r="E4" i="3"/>
  <c r="E18" i="3"/>
  <c r="E17" i="3"/>
  <c r="B3" i="3"/>
  <c r="E3" i="3" s="1"/>
  <c r="E255" i="3"/>
  <c r="E244" i="3"/>
  <c r="E257" i="3"/>
  <c r="E254" i="3"/>
  <c r="E217" i="3"/>
  <c r="E223" i="3"/>
  <c r="E225" i="3"/>
  <c r="E222" i="3"/>
  <c r="E303" i="3"/>
  <c r="E292" i="3"/>
  <c r="E302" i="3"/>
  <c r="E346" i="3"/>
  <c r="E16" i="3"/>
  <c r="E8" i="3"/>
  <c r="E14" i="3"/>
  <c r="E13" i="3"/>
  <c r="E253" i="3"/>
  <c r="E256" i="3"/>
  <c r="E252" i="3"/>
  <c r="E250" i="3"/>
  <c r="E212" i="3"/>
  <c r="E216" i="3"/>
  <c r="E220" i="3"/>
  <c r="E218" i="3"/>
  <c r="E297" i="3"/>
  <c r="E305" i="3"/>
  <c r="E294" i="3"/>
  <c r="E352" i="3"/>
  <c r="E353" i="3"/>
  <c r="E347" i="3"/>
  <c r="E340" i="3"/>
  <c r="E354" i="3"/>
  <c r="E348" i="3"/>
  <c r="E12" i="3"/>
  <c r="E15" i="3"/>
  <c r="E10" i="3"/>
  <c r="E248" i="3"/>
  <c r="E249" i="3"/>
  <c r="E247" i="3"/>
  <c r="E224" i="3"/>
  <c r="E221" i="3"/>
  <c r="E215" i="3"/>
  <c r="E295" i="3"/>
  <c r="B291" i="3"/>
  <c r="E291" i="3" s="1"/>
  <c r="E370" i="3"/>
  <c r="E336" i="3"/>
  <c r="E334" i="3"/>
  <c r="E338" i="12"/>
  <c r="E325" i="12"/>
  <c r="E324" i="12"/>
  <c r="E335" i="12"/>
  <c r="B323" i="12"/>
  <c r="E323" i="12" s="1"/>
  <c r="E325" i="3"/>
  <c r="E329" i="3"/>
  <c r="E332" i="3"/>
  <c r="E330" i="3"/>
  <c r="E334" i="12"/>
  <c r="E336" i="12"/>
  <c r="E326" i="12"/>
  <c r="E331" i="12"/>
  <c r="E337" i="3"/>
  <c r="E324" i="3"/>
  <c r="E335" i="3"/>
  <c r="E327" i="3"/>
  <c r="E330" i="12"/>
  <c r="E332" i="12"/>
  <c r="E337" i="12"/>
  <c r="E478" i="3"/>
  <c r="E477" i="3"/>
  <c r="E405" i="3"/>
  <c r="E412" i="3"/>
  <c r="E470" i="3"/>
  <c r="E479" i="3"/>
  <c r="E473" i="3"/>
  <c r="E472" i="3"/>
  <c r="E414" i="3"/>
  <c r="E413" i="3"/>
  <c r="E406" i="3"/>
  <c r="B403" i="3"/>
  <c r="E403" i="3" s="1"/>
  <c r="E474" i="3"/>
  <c r="E476" i="3"/>
  <c r="E418" i="3"/>
  <c r="E407" i="3"/>
  <c r="E475" i="3"/>
  <c r="E471" i="3"/>
  <c r="E469" i="3"/>
  <c r="E409" i="3"/>
  <c r="E404" i="3"/>
  <c r="E408" i="3"/>
  <c r="E225" i="11"/>
  <c r="E437" i="12"/>
  <c r="E449" i="12"/>
  <c r="E450" i="12"/>
  <c r="E444" i="12"/>
  <c r="E443" i="12"/>
  <c r="E445" i="12"/>
  <c r="E446" i="12"/>
  <c r="E440" i="12"/>
  <c r="E439" i="12"/>
  <c r="E441" i="12"/>
  <c r="E438" i="12"/>
  <c r="E436" i="12"/>
  <c r="E406" i="12"/>
  <c r="E412" i="12"/>
  <c r="E407" i="12"/>
  <c r="E417" i="12"/>
  <c r="B403" i="12"/>
  <c r="E403" i="12" s="1"/>
  <c r="E418" i="12"/>
  <c r="E413" i="12"/>
  <c r="E416" i="12"/>
  <c r="E402" i="3"/>
  <c r="E393" i="12"/>
  <c r="E392" i="12"/>
  <c r="B387" i="3"/>
  <c r="E387" i="3" s="1"/>
  <c r="E397" i="12"/>
  <c r="E394" i="12"/>
  <c r="E388" i="12"/>
  <c r="E387" i="12"/>
  <c r="E400" i="12"/>
  <c r="E399" i="12"/>
  <c r="E142" i="11"/>
  <c r="E286" i="12"/>
  <c r="E285" i="12"/>
  <c r="E284" i="12"/>
  <c r="E143" i="11"/>
  <c r="E146" i="11"/>
  <c r="E266" i="12"/>
  <c r="E261" i="12"/>
  <c r="E260" i="12"/>
  <c r="E263" i="12"/>
  <c r="E273" i="12"/>
  <c r="E272" i="12"/>
  <c r="E262" i="12"/>
  <c r="B259" i="12"/>
  <c r="E259" i="12" s="1"/>
  <c r="E274" i="12"/>
  <c r="E269" i="12"/>
  <c r="E268" i="12"/>
  <c r="E309" i="3"/>
  <c r="E318" i="3"/>
  <c r="E319" i="12"/>
  <c r="E320" i="3"/>
  <c r="E322" i="3"/>
  <c r="E315" i="3"/>
  <c r="E321" i="3"/>
  <c r="E314" i="3"/>
  <c r="E315" i="12"/>
  <c r="E317" i="3"/>
  <c r="E308" i="3"/>
  <c r="E316" i="3"/>
  <c r="B307" i="3"/>
  <c r="E307" i="3" s="1"/>
  <c r="E319" i="3"/>
  <c r="E313" i="3"/>
  <c r="E311" i="3"/>
  <c r="E317" i="12"/>
  <c r="E316" i="12"/>
  <c r="E314" i="12"/>
  <c r="E296" i="3"/>
  <c r="E293" i="3"/>
  <c r="E300" i="3"/>
  <c r="E298" i="3"/>
  <c r="E304" i="3"/>
  <c r="E284" i="3"/>
  <c r="E282" i="3"/>
  <c r="E278" i="3"/>
  <c r="E290" i="3"/>
  <c r="E141" i="11"/>
  <c r="E145" i="11"/>
  <c r="B139" i="11"/>
  <c r="E139" i="11" s="1"/>
  <c r="E144" i="11"/>
  <c r="E461" i="3"/>
  <c r="E20" i="3"/>
  <c r="E30" i="3"/>
  <c r="E25" i="3"/>
  <c r="E462" i="3"/>
  <c r="E27" i="3"/>
  <c r="E28" i="3"/>
  <c r="E26" i="3"/>
  <c r="E21" i="3"/>
  <c r="E466" i="3"/>
  <c r="E460" i="3"/>
  <c r="E236" i="11"/>
  <c r="E238" i="11"/>
  <c r="E237" i="11"/>
  <c r="E452" i="3"/>
  <c r="E463" i="3"/>
  <c r="E456" i="3"/>
  <c r="E459" i="3"/>
  <c r="E465" i="12"/>
  <c r="E464" i="12"/>
  <c r="E459" i="12"/>
  <c r="E458" i="3"/>
  <c r="E453" i="3"/>
  <c r="E464" i="3"/>
  <c r="E457" i="12"/>
  <c r="E460" i="12"/>
  <c r="E461" i="12"/>
  <c r="E458" i="12"/>
  <c r="E452" i="12"/>
  <c r="B243" i="11"/>
  <c r="E243" i="11" s="1"/>
  <c r="E246" i="11"/>
  <c r="E250" i="11"/>
  <c r="E245" i="11"/>
  <c r="E247" i="11"/>
  <c r="E249" i="11"/>
  <c r="E244" i="11"/>
  <c r="E248" i="11"/>
  <c r="B499" i="12"/>
  <c r="E499" i="12" s="1"/>
  <c r="E503" i="12"/>
  <c r="E507" i="12"/>
  <c r="E511" i="12"/>
  <c r="E500" i="12"/>
  <c r="E504" i="12"/>
  <c r="E508" i="12"/>
  <c r="E512" i="12"/>
  <c r="E506" i="12"/>
  <c r="E514" i="12"/>
  <c r="E501" i="12"/>
  <c r="E505" i="12"/>
  <c r="E509" i="12"/>
  <c r="E513" i="12"/>
  <c r="E502" i="12"/>
  <c r="E510" i="12"/>
  <c r="B483" i="12"/>
  <c r="E483" i="12" s="1"/>
  <c r="E487" i="12"/>
  <c r="E491" i="12"/>
  <c r="E495" i="12"/>
  <c r="E498" i="12"/>
  <c r="E484" i="12"/>
  <c r="E488" i="12"/>
  <c r="E492" i="12"/>
  <c r="E496" i="12"/>
  <c r="E486" i="12"/>
  <c r="E494" i="12"/>
  <c r="E485" i="12"/>
  <c r="E489" i="12"/>
  <c r="E493" i="12"/>
  <c r="E497" i="12"/>
  <c r="E490" i="12"/>
  <c r="B123" i="11"/>
  <c r="E123" i="11" s="1"/>
  <c r="E126" i="11"/>
  <c r="E130" i="11"/>
  <c r="E127" i="11"/>
  <c r="E124" i="11"/>
  <c r="E128" i="11"/>
  <c r="E125" i="11"/>
  <c r="E129" i="11"/>
  <c r="B243" i="12"/>
  <c r="E243" i="12" s="1"/>
  <c r="E247" i="12"/>
  <c r="E251" i="12"/>
  <c r="E255" i="12"/>
  <c r="E246" i="12"/>
  <c r="E244" i="12"/>
  <c r="E248" i="12"/>
  <c r="E252" i="12"/>
  <c r="E256" i="12"/>
  <c r="E245" i="12"/>
  <c r="E249" i="12"/>
  <c r="E253" i="12"/>
  <c r="E257" i="12"/>
  <c r="E250" i="12"/>
  <c r="E254" i="12"/>
  <c r="E258" i="12"/>
  <c r="B211" i="12"/>
  <c r="E211" i="12" s="1"/>
  <c r="E215" i="12"/>
  <c r="E219" i="12"/>
  <c r="E223" i="12"/>
  <c r="E212" i="12"/>
  <c r="E216" i="12"/>
  <c r="E220" i="12"/>
  <c r="E224" i="12"/>
  <c r="E213" i="12"/>
  <c r="E217" i="12"/>
  <c r="E221" i="12"/>
  <c r="E225" i="12"/>
  <c r="E214" i="12"/>
  <c r="E218" i="12"/>
  <c r="E222" i="12"/>
  <c r="E226" i="12"/>
  <c r="B227" i="12"/>
  <c r="E227" i="12" s="1"/>
  <c r="E231" i="12"/>
  <c r="E235" i="12"/>
  <c r="E239" i="12"/>
  <c r="E228" i="12"/>
  <c r="E232" i="12"/>
  <c r="E236" i="12"/>
  <c r="E240" i="12"/>
  <c r="E242" i="12"/>
  <c r="E229" i="12"/>
  <c r="E233" i="12"/>
  <c r="E237" i="12"/>
  <c r="E241" i="12"/>
  <c r="E230" i="12"/>
  <c r="E234" i="12"/>
  <c r="E238" i="12"/>
  <c r="B115" i="11"/>
  <c r="E115" i="11" s="1"/>
  <c r="E118" i="11"/>
  <c r="E122" i="11"/>
  <c r="E119" i="11"/>
  <c r="E117" i="11"/>
  <c r="E116" i="11"/>
  <c r="E120" i="11"/>
  <c r="E121" i="11"/>
  <c r="B107" i="11"/>
  <c r="E107" i="11" s="1"/>
  <c r="E110" i="11"/>
  <c r="E114" i="11"/>
  <c r="E109" i="11"/>
  <c r="E111" i="11"/>
  <c r="E108" i="11"/>
  <c r="E112" i="11"/>
  <c r="E113" i="11"/>
  <c r="E39" i="11"/>
  <c r="B51" i="11"/>
  <c r="E51" i="11" s="1"/>
  <c r="E52" i="11"/>
  <c r="E55" i="11"/>
  <c r="E56" i="11"/>
  <c r="E53" i="11"/>
  <c r="B3" i="12"/>
  <c r="E4" i="12"/>
  <c r="E8" i="12"/>
  <c r="E12" i="12"/>
  <c r="E16" i="12"/>
  <c r="E5" i="12"/>
  <c r="E9" i="12"/>
  <c r="E13" i="12"/>
  <c r="E17" i="12"/>
  <c r="E6" i="12"/>
  <c r="E10" i="12"/>
  <c r="E14" i="12"/>
  <c r="E18" i="12"/>
  <c r="E7" i="12"/>
  <c r="E11" i="12"/>
  <c r="E15" i="12"/>
  <c r="E3" i="12"/>
  <c r="E34" i="3"/>
  <c r="E33" i="3"/>
  <c r="B27" i="11"/>
  <c r="E27" i="11" s="1"/>
  <c r="E31" i="11"/>
  <c r="E28" i="11"/>
  <c r="E32" i="11"/>
  <c r="E30" i="11"/>
  <c r="E29" i="11"/>
  <c r="E33" i="11"/>
  <c r="E34" i="11"/>
  <c r="B195" i="3" a="1"/>
  <c r="B195" i="12" a="1"/>
  <c r="B99" i="3" a="1"/>
  <c r="B115" i="3" a="1"/>
  <c r="B67" i="3" a="1"/>
  <c r="B99" i="11" a="1"/>
  <c r="E57" i="11" l="1"/>
  <c r="E58" i="11"/>
  <c r="E85" i="3"/>
  <c r="E37" i="11"/>
  <c r="B35" i="11"/>
  <c r="E35" i="11" s="1"/>
  <c r="E41" i="11"/>
  <c r="E84" i="3"/>
  <c r="E60" i="11"/>
  <c r="E63" i="11"/>
  <c r="E66" i="11"/>
  <c r="E62" i="11"/>
  <c r="E64" i="11"/>
  <c r="E65" i="11"/>
  <c r="B59" i="11"/>
  <c r="E59" i="11" s="1"/>
  <c r="E44" i="11"/>
  <c r="E47" i="11"/>
  <c r="E50" i="11"/>
  <c r="E46" i="11"/>
  <c r="B43" i="11"/>
  <c r="E43" i="11" s="1"/>
  <c r="E48" i="11"/>
  <c r="E49" i="11"/>
  <c r="E90" i="3"/>
  <c r="E95" i="3"/>
  <c r="E86" i="3"/>
  <c r="B83" i="3"/>
  <c r="E83" i="3" s="1"/>
  <c r="E88" i="3"/>
  <c r="E87" i="3"/>
  <c r="E97" i="3"/>
  <c r="E96" i="3"/>
  <c r="E98" i="3"/>
  <c r="E89" i="3"/>
  <c r="E40" i="11"/>
  <c r="E42" i="11"/>
  <c r="E36" i="11"/>
  <c r="E91" i="3"/>
  <c r="E92" i="3"/>
  <c r="E94" i="3"/>
  <c r="B195" i="12"/>
  <c r="E195" i="12" s="1"/>
  <c r="E199" i="12"/>
  <c r="E203" i="12"/>
  <c r="E207" i="12"/>
  <c r="E196" i="12"/>
  <c r="E200" i="12"/>
  <c r="E204" i="12"/>
  <c r="E208" i="12"/>
  <c r="E197" i="12"/>
  <c r="E201" i="12"/>
  <c r="E205" i="12"/>
  <c r="E209" i="12"/>
  <c r="E198" i="12"/>
  <c r="E202" i="12"/>
  <c r="E206" i="12"/>
  <c r="E210" i="12"/>
  <c r="B99" i="11"/>
  <c r="E99" i="11" s="1"/>
  <c r="E102" i="11"/>
  <c r="E106" i="11"/>
  <c r="E103" i="11"/>
  <c r="E100" i="11"/>
  <c r="E104" i="11"/>
  <c r="E101" i="11"/>
  <c r="E105" i="11"/>
  <c r="B115" i="3"/>
  <c r="E115" i="3" s="1"/>
  <c r="E117" i="3"/>
  <c r="E121" i="3"/>
  <c r="E125" i="3"/>
  <c r="E129" i="3"/>
  <c r="E118" i="3"/>
  <c r="E122" i="3"/>
  <c r="E126" i="3"/>
  <c r="E130" i="3"/>
  <c r="E119" i="3"/>
  <c r="E127" i="3"/>
  <c r="E124" i="3"/>
  <c r="E116" i="3"/>
  <c r="E128" i="3"/>
  <c r="E120" i="3"/>
  <c r="E123" i="3"/>
  <c r="B99" i="3"/>
  <c r="E99" i="3" s="1"/>
  <c r="E101" i="3"/>
  <c r="E105" i="3"/>
  <c r="E109" i="3"/>
  <c r="E113" i="3"/>
  <c r="E102" i="3"/>
  <c r="E106" i="3"/>
  <c r="E110" i="3"/>
  <c r="E114" i="3"/>
  <c r="E103" i="3"/>
  <c r="E111" i="3"/>
  <c r="E104" i="3"/>
  <c r="E107" i="3"/>
  <c r="E108" i="3"/>
  <c r="E100" i="3"/>
  <c r="E112" i="3"/>
  <c r="B67" i="3"/>
  <c r="E67" i="3" s="1"/>
  <c r="E69" i="3"/>
  <c r="E73" i="3"/>
  <c r="E77" i="3"/>
  <c r="E81" i="3"/>
  <c r="E70" i="3"/>
  <c r="E74" i="3"/>
  <c r="E78" i="3"/>
  <c r="E82" i="3"/>
  <c r="E71" i="3"/>
  <c r="E79" i="3"/>
  <c r="E72" i="3"/>
  <c r="E75" i="3"/>
  <c r="E76" i="3"/>
  <c r="E68" i="3"/>
  <c r="E80" i="3"/>
  <c r="B195" i="3"/>
  <c r="E195" i="3" s="1"/>
  <c r="E198" i="3"/>
  <c r="E202" i="3"/>
  <c r="E206" i="3"/>
  <c r="E210" i="3"/>
  <c r="E199" i="3"/>
  <c r="E204" i="3"/>
  <c r="E209" i="3"/>
  <c r="E200" i="3"/>
  <c r="E207" i="3"/>
  <c r="E201" i="3"/>
  <c r="E208" i="3"/>
  <c r="E205" i="3"/>
  <c r="E196" i="3"/>
  <c r="E197" i="3"/>
  <c r="E2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<sst xmlns="http://schemas.openxmlformats.org/spreadsheetml/2006/main" count="3063" uniqueCount="422">
  <si>
    <t>B12</t>
  </si>
  <si>
    <t>B13</t>
  </si>
  <si>
    <t>B14</t>
  </si>
  <si>
    <t>B15</t>
  </si>
  <si>
    <t>A8</t>
  </si>
  <si>
    <t>A9</t>
  </si>
  <si>
    <t>A10</t>
  </si>
  <si>
    <t>A11</t>
  </si>
  <si>
    <t>A12</t>
  </si>
  <si>
    <t>A15</t>
  </si>
  <si>
    <t>B3</t>
  </si>
  <si>
    <t>B4</t>
  </si>
  <si>
    <t>B5</t>
  </si>
  <si>
    <t>B6</t>
  </si>
  <si>
    <t>B7</t>
  </si>
  <si>
    <t>B8</t>
  </si>
  <si>
    <t>B9</t>
  </si>
  <si>
    <t>5V</t>
  </si>
  <si>
    <t>G</t>
  </si>
  <si>
    <t>3.3</t>
  </si>
  <si>
    <t>C13</t>
  </si>
  <si>
    <t>C14</t>
  </si>
  <si>
    <t>C15</t>
  </si>
  <si>
    <t>A0</t>
  </si>
  <si>
    <t>A1</t>
  </si>
  <si>
    <t>A2</t>
  </si>
  <si>
    <t>A3</t>
  </si>
  <si>
    <t>A4</t>
  </si>
  <si>
    <t>A5</t>
  </si>
  <si>
    <t>A6</t>
  </si>
  <si>
    <t>A7</t>
  </si>
  <si>
    <t>B0</t>
  </si>
  <si>
    <t>B1</t>
  </si>
  <si>
    <t>B10</t>
  </si>
  <si>
    <t>B11</t>
  </si>
  <si>
    <t>R</t>
  </si>
  <si>
    <t>SWIO</t>
  </si>
  <si>
    <t>VB/SWCLK</t>
  </si>
  <si>
    <t>COILS</t>
  </si>
  <si>
    <t>COILS SWITCHES</t>
  </si>
  <si>
    <t>WING0</t>
  </si>
  <si>
    <t>WING1</t>
  </si>
  <si>
    <t>WING2</t>
  </si>
  <si>
    <t>WING3</t>
  </si>
  <si>
    <t>INPUT</t>
  </si>
  <si>
    <t>NEOPIXEL</t>
  </si>
  <si>
    <t>INCANDESCENT</t>
  </si>
  <si>
    <t>SWITCHES/INCAND</t>
  </si>
  <si>
    <t>switches:</t>
  </si>
  <si>
    <t>coils:</t>
  </si>
  <si>
    <t>STM32 CARD NUMBER :</t>
  </si>
  <si>
    <t>lights:</t>
  </si>
  <si>
    <t xml:space="preserve"> </t>
  </si>
  <si>
    <t>Leave empty unused slots</t>
  </si>
  <si>
    <t>Select the proper config for each wing</t>
  </si>
  <si>
    <t>AUTOMATED VALUES</t>
  </si>
  <si>
    <t>TO PASTE IN NOTEPAD++</t>
  </si>
  <si>
    <t>Same for incandescent lights</t>
  </si>
  <si>
    <t>STM32 BOARDS TEMPLATE</t>
  </si>
  <si>
    <t>Feel free to ping me for typos, upgrade and comments at :</t>
  </si>
  <si>
    <t>benetnath (at) gmail.com</t>
  </si>
  <si>
    <t>If this sheet was helpful, you can make a small donation to our charity project.</t>
  </si>
  <si>
    <t>We are placing pinball machines in hospital for childrens.</t>
  </si>
  <si>
    <t>See :</t>
  </si>
  <si>
    <t>https://www.deslumieresdanslesyeux.fr</t>
  </si>
  <si>
    <t>BEN</t>
  </si>
  <si>
    <t>Fill all cells colored in each STM32 tab. One tab is for one STM32 card</t>
  </si>
  <si>
    <t>Go to coils list tab and do the same</t>
  </si>
  <si>
    <t>Go to switches list tab. Click the button and Paste the clipboard content in Notepad++. Then Select YAML as language. You can remove column M after !</t>
  </si>
  <si>
    <t>NB : I'm using Notepad++ but any other editor is suitable :)</t>
  </si>
  <si>
    <t xml:space="preserve">DATE OF EDITION : </t>
  </si>
  <si>
    <t>VERSION NUMBER :</t>
  </si>
  <si>
    <t>Slingshot_Left</t>
  </si>
  <si>
    <t>Slingshot_Right</t>
  </si>
  <si>
    <t>Flipper_Right_Top</t>
  </si>
  <si>
    <t>Outlane_Right</t>
  </si>
  <si>
    <t>Flipper_Right_Bottom</t>
  </si>
  <si>
    <t>Inlane_Bottom</t>
  </si>
  <si>
    <t>Flipper_Left_Top</t>
  </si>
  <si>
    <t>Rollover_9</t>
  </si>
  <si>
    <t>Flipper_Left_Bottom</t>
  </si>
  <si>
    <t>Rollover_8</t>
  </si>
  <si>
    <t>Rollover_7</t>
  </si>
  <si>
    <t>Target_10</t>
  </si>
  <si>
    <t>SPECIAL</t>
  </si>
  <si>
    <t>Target_Adv_Bonus_Left_Top</t>
  </si>
  <si>
    <t>Target_Adv_Bonus_Left_Bottom</t>
  </si>
  <si>
    <t>Target_1000</t>
  </si>
  <si>
    <t>Target_A</t>
  </si>
  <si>
    <t>Target_K</t>
  </si>
  <si>
    <t>Target_Q</t>
  </si>
  <si>
    <t>Target_J</t>
  </si>
  <si>
    <t xml:space="preserve"> s_Target_J:</t>
  </si>
  <si>
    <t xml:space="preserve"> s_Target_Q:</t>
  </si>
  <si>
    <t xml:space="preserve"> s_Target_K:</t>
  </si>
  <si>
    <t xml:space="preserve"> s_Target_A:</t>
  </si>
  <si>
    <t xml:space="preserve"> s_Target_1000:</t>
  </si>
  <si>
    <t xml:space="preserve"> s_Target_Adv_Bonus_Left_Top:</t>
  </si>
  <si>
    <t xml:space="preserve"> s_SPECIAL:</t>
  </si>
  <si>
    <t xml:space="preserve"> s_Flipper_Left_Bottom:</t>
  </si>
  <si>
    <t xml:space="preserve"> s_Flipper_Left_Top:</t>
  </si>
  <si>
    <t xml:space="preserve"> s_Flipper_Right_Bottom:</t>
  </si>
  <si>
    <t xml:space="preserve"> s_Flipper_Right_Top:</t>
  </si>
  <si>
    <t xml:space="preserve"> s_Slingshot_Left:</t>
  </si>
  <si>
    <t xml:space="preserve"> s_Slingshot_Right:</t>
  </si>
  <si>
    <t xml:space="preserve"> s_Outlane_Right:</t>
  </si>
  <si>
    <t xml:space="preserve"> s_Inlane_Bottom:</t>
  </si>
  <si>
    <t xml:space="preserve"> s_Rollover_9:</t>
  </si>
  <si>
    <t xml:space="preserve"> s_Rollover_8:</t>
  </si>
  <si>
    <t xml:space="preserve"> s_Rollover_7:</t>
  </si>
  <si>
    <t xml:space="preserve"> s_Target_10:</t>
  </si>
  <si>
    <t xml:space="preserve"> s_Target_Adv_Bonus_Left_Bottom:</t>
  </si>
  <si>
    <t xml:space="preserve"> c_Flipper_Left_Bottom:</t>
  </si>
  <si>
    <t xml:space="preserve"> c_Flipper_Left_Top:</t>
  </si>
  <si>
    <t xml:space="preserve"> c_Flipper_Right_Bottom:</t>
  </si>
  <si>
    <t xml:space="preserve"> c_Flipper_Right_Top:</t>
  </si>
  <si>
    <t xml:space="preserve"> c_Slingshot_Left:</t>
  </si>
  <si>
    <t xml:space="preserve"> c_Slingshot_Right:</t>
  </si>
  <si>
    <t>Outlane_Left</t>
  </si>
  <si>
    <t>neopixel</t>
  </si>
  <si>
    <t>Rollover_4</t>
  </si>
  <si>
    <t>Rollover_5</t>
  </si>
  <si>
    <t>Rollover_6</t>
  </si>
  <si>
    <t>Rollover_1</t>
  </si>
  <si>
    <t>Rollover_2</t>
  </si>
  <si>
    <t>Rollover_3</t>
  </si>
  <si>
    <t>Target_Adv_Bonus_Right_Top</t>
  </si>
  <si>
    <t>Left_Bumper</t>
  </si>
  <si>
    <t>Right_Bumper</t>
  </si>
  <si>
    <t>Top_Bumper</t>
  </si>
  <si>
    <t>Lane_Top_Left</t>
  </si>
  <si>
    <t>Lane_Top_Right</t>
  </si>
  <si>
    <t>Tilt_playfield</t>
  </si>
  <si>
    <t>Chime_2</t>
  </si>
  <si>
    <t>Chime_1</t>
  </si>
  <si>
    <t>Chime_3</t>
  </si>
  <si>
    <t>Knocker</t>
  </si>
  <si>
    <t>Start_button</t>
  </si>
  <si>
    <t>Tilt_Plumb</t>
  </si>
  <si>
    <t>Tilt_Roll</t>
  </si>
  <si>
    <t xml:space="preserve"> s_Tilt_playfield:</t>
  </si>
  <si>
    <t xml:space="preserve"> s_Outlane_Left:</t>
  </si>
  <si>
    <t xml:space="preserve"> s_Target_Adv_Bonus_Right_Top:</t>
  </si>
  <si>
    <t xml:space="preserve"> s_Rollover_6:</t>
  </si>
  <si>
    <t xml:space="preserve">  number: 1-0-1</t>
  </si>
  <si>
    <t xml:space="preserve"> s_Rollover_5:</t>
  </si>
  <si>
    <t xml:space="preserve">  number: 1-0-2</t>
  </si>
  <si>
    <t xml:space="preserve"> s_Rollover_4:</t>
  </si>
  <si>
    <t xml:space="preserve">  number: 1-0-3</t>
  </si>
  <si>
    <t xml:space="preserve"> s_Rollover_3:</t>
  </si>
  <si>
    <t xml:space="preserve">  number: 1-0-5</t>
  </si>
  <si>
    <t xml:space="preserve"> s_Rollover_2:</t>
  </si>
  <si>
    <t xml:space="preserve">  number: 1-0-6</t>
  </si>
  <si>
    <t xml:space="preserve"> s_Rollover_1:</t>
  </si>
  <si>
    <t xml:space="preserve">  number: 1-0-7</t>
  </si>
  <si>
    <t xml:space="preserve"> s_Left_Bumper:</t>
  </si>
  <si>
    <t xml:space="preserve">  number: 1-0-8</t>
  </si>
  <si>
    <t xml:space="preserve"> s_Right_Bumper:</t>
  </si>
  <si>
    <t xml:space="preserve">  number: 1-0-9</t>
  </si>
  <si>
    <t xml:space="preserve"> s_Top_Bumper:</t>
  </si>
  <si>
    <t xml:space="preserve">  number: 1-0-10</t>
  </si>
  <si>
    <t xml:space="preserve"> s_Lane_Top_Left:</t>
  </si>
  <si>
    <t xml:space="preserve">  number: 1-0-16</t>
  </si>
  <si>
    <t xml:space="preserve"> s_Lane_Top_Right:</t>
  </si>
  <si>
    <t xml:space="preserve">  number: 1-0-17</t>
  </si>
  <si>
    <t xml:space="preserve"> s_Roller_1000:</t>
  </si>
  <si>
    <t xml:space="preserve">  number: 1-0-18</t>
  </si>
  <si>
    <t xml:space="preserve"> s_Chime_1:</t>
  </si>
  <si>
    <t xml:space="preserve">  number: 2-0-8</t>
  </si>
  <si>
    <t xml:space="preserve"> s_Chime_2:</t>
  </si>
  <si>
    <t xml:space="preserve">  number: 2-0-9</t>
  </si>
  <si>
    <t xml:space="preserve"> s_Chime_3:</t>
  </si>
  <si>
    <t xml:space="preserve">  number: 2-0-10</t>
  </si>
  <si>
    <t xml:space="preserve"> s_Knocker:</t>
  </si>
  <si>
    <t xml:space="preserve"> s_Start_button:</t>
  </si>
  <si>
    <t xml:space="preserve"> s_Tilt_Plumb:</t>
  </si>
  <si>
    <t xml:space="preserve"> s_Tilt_Roll:</t>
  </si>
  <si>
    <t>Drain</t>
  </si>
  <si>
    <t xml:space="preserve"> c_Drain:</t>
  </si>
  <si>
    <t xml:space="preserve"> c_Left_Bumper:</t>
  </si>
  <si>
    <t xml:space="preserve">  number: 1-0-4</t>
  </si>
  <si>
    <t xml:space="preserve"> c_Right_Bumper:</t>
  </si>
  <si>
    <t xml:space="preserve"> c_Top_Bumper:</t>
  </si>
  <si>
    <t xml:space="preserve"> c_Chime_1:</t>
  </si>
  <si>
    <t xml:space="preserve">  number: 2-0-4</t>
  </si>
  <si>
    <t xml:space="preserve"> c_Chime_2:</t>
  </si>
  <si>
    <t xml:space="preserve">  number: 2-0-5</t>
  </si>
  <si>
    <t xml:space="preserve"> c_Chime_3:</t>
  </si>
  <si>
    <t xml:space="preserve">  number: 2-0-6</t>
  </si>
  <si>
    <t xml:space="preserve"> c_Knocker:</t>
  </si>
  <si>
    <t xml:space="preserve">  number: 2-0-7</t>
  </si>
  <si>
    <t>Type of LEDS :</t>
  </si>
  <si>
    <t>rgb</t>
  </si>
  <si>
    <t>RGBW</t>
  </si>
  <si>
    <t>Card ID:</t>
  </si>
  <si>
    <t xml:space="preserve">  channels:</t>
  </si>
  <si>
    <t>Rank in the ribbon</t>
  </si>
  <si>
    <t>Name</t>
  </si>
  <si>
    <t xml:space="preserve">   red:</t>
  </si>
  <si>
    <t xml:space="preserve">   green:</t>
  </si>
  <si>
    <t>Bonus_1000</t>
  </si>
  <si>
    <t>Bonus_2000</t>
  </si>
  <si>
    <t>Bonus_3000</t>
  </si>
  <si>
    <t>Bonus_4000</t>
  </si>
  <si>
    <t>Bonus_5000</t>
  </si>
  <si>
    <t>Bonus_6000</t>
  </si>
  <si>
    <t>Bonus_7000</t>
  </si>
  <si>
    <t>Bonus_8000</t>
  </si>
  <si>
    <t>Bonus_9000</t>
  </si>
  <si>
    <t xml:space="preserve">   blue:</t>
  </si>
  <si>
    <t xml:space="preserve">   white:</t>
  </si>
  <si>
    <t>GRBW</t>
  </si>
  <si>
    <t>grb</t>
  </si>
  <si>
    <t>SOLENOID</t>
  </si>
  <si>
    <t xml:space="preserve">  number: 1-0-11</t>
  </si>
  <si>
    <t xml:space="preserve"> s_Drain:</t>
  </si>
  <si>
    <t xml:space="preserve">  number: 1-0-24</t>
  </si>
  <si>
    <t xml:space="preserve">  number: 1-0-25</t>
  </si>
  <si>
    <t xml:space="preserve">  number: 1-0-26</t>
  </si>
  <si>
    <t xml:space="preserve">  number: 1-0-27</t>
  </si>
  <si>
    <t xml:space="preserve">  number: 1-0-28</t>
  </si>
  <si>
    <t xml:space="preserve">  number: 1-0-29</t>
  </si>
  <si>
    <t xml:space="preserve">  number: 1-0-30</t>
  </si>
  <si>
    <t xml:space="preserve">  number: 1-0-31</t>
  </si>
  <si>
    <t xml:space="preserve">  number: 2-0-1</t>
  </si>
  <si>
    <t xml:space="preserve">  number: 2-0-2</t>
  </si>
  <si>
    <t xml:space="preserve">  number: 2-0-3</t>
  </si>
  <si>
    <t xml:space="preserve">  number: 2-0-16</t>
  </si>
  <si>
    <t xml:space="preserve">  number: 2-0-17</t>
  </si>
  <si>
    <t xml:space="preserve">  number: 2-0-18</t>
  </si>
  <si>
    <t xml:space="preserve">  number: 2-0-19</t>
  </si>
  <si>
    <t xml:space="preserve">  number: 2-0-20</t>
  </si>
  <si>
    <t xml:space="preserve">  number: 2-0-21</t>
  </si>
  <si>
    <t xml:space="preserve">  number: 2-0-22</t>
  </si>
  <si>
    <t xml:space="preserve">  number: 2-0-23</t>
  </si>
  <si>
    <t xml:space="preserve">  number: 3-0-8</t>
  </si>
  <si>
    <t xml:space="preserve">  number: 3-0-9</t>
  </si>
  <si>
    <t xml:space="preserve">  number: 3-0-10</t>
  </si>
  <si>
    <t xml:space="preserve">  number: 3-0-11</t>
  </si>
  <si>
    <t xml:space="preserve">  number: 3-0-24</t>
  </si>
  <si>
    <t xml:space="preserve">  number: 3-0-25</t>
  </si>
  <si>
    <t xml:space="preserve">  number: 3-0-26</t>
  </si>
  <si>
    <t>score_1p_10</t>
  </si>
  <si>
    <t>score_1p_1k</t>
  </si>
  <si>
    <t>score_1p_100</t>
  </si>
  <si>
    <t>score_1p_10k</t>
  </si>
  <si>
    <t>score_2p_10k</t>
  </si>
  <si>
    <t>score_2p_1k</t>
  </si>
  <si>
    <t>score_2p_100</t>
  </si>
  <si>
    <t>score_2p_10</t>
  </si>
  <si>
    <t>score_3p_10</t>
  </si>
  <si>
    <t>score_3p_100</t>
  </si>
  <si>
    <t>score_3p_1k</t>
  </si>
  <si>
    <t>score_3p_10k</t>
  </si>
  <si>
    <t>score_4p_10k</t>
  </si>
  <si>
    <t>score_4p_1k</t>
  </si>
  <si>
    <t>score_4p_100</t>
  </si>
  <si>
    <t>score_4p_10</t>
  </si>
  <si>
    <t xml:space="preserve"> s_score_1p_10:</t>
  </si>
  <si>
    <t xml:space="preserve">  number: 4-0-8</t>
  </si>
  <si>
    <t xml:space="preserve"> s_score_1p_100:</t>
  </si>
  <si>
    <t xml:space="preserve">  number: 4-0-9</t>
  </si>
  <si>
    <t xml:space="preserve"> s_score_1p_1k:</t>
  </si>
  <si>
    <t xml:space="preserve">  number: 4-0-10</t>
  </si>
  <si>
    <t xml:space="preserve"> s_score_1p_10k:</t>
  </si>
  <si>
    <t xml:space="preserve">  number: 4-0-11</t>
  </si>
  <si>
    <t xml:space="preserve"> s_score_2p_10:</t>
  </si>
  <si>
    <t xml:space="preserve">  number: 4-0-24</t>
  </si>
  <si>
    <t xml:space="preserve"> s_score_2p_100:</t>
  </si>
  <si>
    <t xml:space="preserve">  number: 4-0-25</t>
  </si>
  <si>
    <t xml:space="preserve"> s_score_2p_1k:</t>
  </si>
  <si>
    <t xml:space="preserve">  number: 4-0-26</t>
  </si>
  <si>
    <t xml:space="preserve"> s_score_2p_10k:</t>
  </si>
  <si>
    <t xml:space="preserve">  number: 4-0-27</t>
  </si>
  <si>
    <t xml:space="preserve"> s_score_4p_10:</t>
  </si>
  <si>
    <t xml:space="preserve">  number: 5-0-8</t>
  </si>
  <si>
    <t xml:space="preserve"> s_score_4p_100:</t>
  </si>
  <si>
    <t xml:space="preserve">  number: 5-0-9</t>
  </si>
  <si>
    <t xml:space="preserve"> s_score_4p_1k:</t>
  </si>
  <si>
    <t xml:space="preserve">  number: 5-0-10</t>
  </si>
  <si>
    <t xml:space="preserve"> s_score_4p_10k:</t>
  </si>
  <si>
    <t xml:space="preserve">  number: 5-0-11</t>
  </si>
  <si>
    <t xml:space="preserve"> s_score_3p_10:</t>
  </si>
  <si>
    <t xml:space="preserve">  number: 5-0-24</t>
  </si>
  <si>
    <t xml:space="preserve"> s_score_3p_100:</t>
  </si>
  <si>
    <t xml:space="preserve">  number: 5-0-25</t>
  </si>
  <si>
    <t xml:space="preserve"> s_score_3p_1k:</t>
  </si>
  <si>
    <t xml:space="preserve">  number: 5-0-26</t>
  </si>
  <si>
    <t xml:space="preserve"> s_score_3p_10k:</t>
  </si>
  <si>
    <t xml:space="preserve">  number: 5-0-27</t>
  </si>
  <si>
    <t xml:space="preserve">  number: 3-0-4</t>
  </si>
  <si>
    <t xml:space="preserve">  number: 3-0-5</t>
  </si>
  <si>
    <t xml:space="preserve">  number: 3-0-6</t>
  </si>
  <si>
    <t xml:space="preserve">  number: 3-0-7</t>
  </si>
  <si>
    <t xml:space="preserve"> c_score_1p_10:</t>
  </si>
  <si>
    <t xml:space="preserve"> c_score_1p_100:</t>
  </si>
  <si>
    <t xml:space="preserve"> c_score_1p_1k:</t>
  </si>
  <si>
    <t xml:space="preserve"> c_score_1p_10k:</t>
  </si>
  <si>
    <t xml:space="preserve"> c_score_2p_10:</t>
  </si>
  <si>
    <t xml:space="preserve">  number: 4-0-12</t>
  </si>
  <si>
    <t xml:space="preserve"> c_score_2p_100:</t>
  </si>
  <si>
    <t xml:space="preserve">  number: 4-0-13</t>
  </si>
  <si>
    <t xml:space="preserve"> c_score_2p_1k:</t>
  </si>
  <si>
    <t xml:space="preserve">  number: 4-0-14</t>
  </si>
  <si>
    <t xml:space="preserve"> c_score_2p_10k:</t>
  </si>
  <si>
    <t xml:space="preserve">  number: 4-0-15</t>
  </si>
  <si>
    <t>solenoid</t>
  </si>
  <si>
    <t xml:space="preserve"> c_score_4p_10:</t>
  </si>
  <si>
    <t xml:space="preserve">  number: 5-0-4</t>
  </si>
  <si>
    <t xml:space="preserve"> c_score_4p_100:</t>
  </si>
  <si>
    <t xml:space="preserve">  number: 5-0-5</t>
  </si>
  <si>
    <t xml:space="preserve"> c_score_4p_1k:</t>
  </si>
  <si>
    <t xml:space="preserve">  number: 5-0-6</t>
  </si>
  <si>
    <t xml:space="preserve"> c_score_4p_10k:</t>
  </si>
  <si>
    <t xml:space="preserve">  number: 5-0-7</t>
  </si>
  <si>
    <t xml:space="preserve"> c_score_3p_10:</t>
  </si>
  <si>
    <t xml:space="preserve">  number: 5-0-12</t>
  </si>
  <si>
    <t xml:space="preserve"> c_score_3p_100:</t>
  </si>
  <si>
    <t xml:space="preserve">  number: 5-0-13</t>
  </si>
  <si>
    <t xml:space="preserve"> c_score_3p_1k:</t>
  </si>
  <si>
    <t xml:space="preserve">  number: 5-0-14</t>
  </si>
  <si>
    <t xml:space="preserve"> c_score_3p_10k:</t>
  </si>
  <si>
    <t xml:space="preserve">  number: 5-0-15</t>
  </si>
  <si>
    <t xml:space="preserve">  number: 4-0-16</t>
  </si>
  <si>
    <t xml:space="preserve">  number: 4-0-17</t>
  </si>
  <si>
    <t xml:space="preserve">  number: 4-0-18</t>
  </si>
  <si>
    <t xml:space="preserve">  number: 4-0-19</t>
  </si>
  <si>
    <t>Bonus_10000</t>
  </si>
  <si>
    <t xml:space="preserve"> lights:</t>
  </si>
  <si>
    <t xml:space="preserve">  number: 6-0-8</t>
  </si>
  <si>
    <t xml:space="preserve">  number: 6-0-12</t>
  </si>
  <si>
    <t xml:space="preserve">  number: 6-0-13</t>
  </si>
  <si>
    <t xml:space="preserve">  number: 6-0-14</t>
  </si>
  <si>
    <t xml:space="preserve">  number: 6-0-15</t>
  </si>
  <si>
    <t>EB</t>
  </si>
  <si>
    <t>SPECIAL_Lane_2</t>
  </si>
  <si>
    <t>Slinghshot_Right</t>
  </si>
  <si>
    <t>EB_Lane</t>
  </si>
  <si>
    <t xml:space="preserve"> l_EB_Lane:</t>
  </si>
  <si>
    <t xml:space="preserve"> l_Lane_Top_Right:</t>
  </si>
  <si>
    <t xml:space="preserve"> l_Slinghshot_Right:</t>
  </si>
  <si>
    <t xml:space="preserve"> l_SPECIAL_Lane_2:</t>
  </si>
  <si>
    <t xml:space="preserve"> l_EB:</t>
  </si>
  <si>
    <t xml:space="preserve"> l_Rollover_6:</t>
  </si>
  <si>
    <t xml:space="preserve"> l_Rollover_9:</t>
  </si>
  <si>
    <t>Triple_Bonus</t>
  </si>
  <si>
    <t>Double_Bonus</t>
  </si>
  <si>
    <t>Rollover_1000</t>
  </si>
  <si>
    <t xml:space="preserve"> l_Right_Bumper:</t>
  </si>
  <si>
    <t xml:space="preserve"> l_Triple_Bonus:</t>
  </si>
  <si>
    <t xml:space="preserve">  number: 6-0-10</t>
  </si>
  <si>
    <t xml:space="preserve"> l_Double_Bonus:</t>
  </si>
  <si>
    <t xml:space="preserve"> l_Top_Bumper:</t>
  </si>
  <si>
    <t xml:space="preserve"> l_Left_Bumper:</t>
  </si>
  <si>
    <t xml:space="preserve"> l_Rollover_2:</t>
  </si>
  <si>
    <t xml:space="preserve">  number: 6-0-16</t>
  </si>
  <si>
    <t xml:space="preserve">  number: 6-0-17</t>
  </si>
  <si>
    <t xml:space="preserve"> l_Rollover_8:</t>
  </si>
  <si>
    <t xml:space="preserve">  number: 6-0-18</t>
  </si>
  <si>
    <t xml:space="preserve">  number: 6-0-19</t>
  </si>
  <si>
    <t xml:space="preserve">  number: 6-0-20</t>
  </si>
  <si>
    <t xml:space="preserve">  number: 6-0-21</t>
  </si>
  <si>
    <t xml:space="preserve">  number: 6-0-22</t>
  </si>
  <si>
    <t xml:space="preserve">  number: 6-0-23</t>
  </si>
  <si>
    <t xml:space="preserve"> l_Rollover_3:</t>
  </si>
  <si>
    <t xml:space="preserve">  number: 6-0-24</t>
  </si>
  <si>
    <t xml:space="preserve"> l_Rollover_1000:</t>
  </si>
  <si>
    <t xml:space="preserve">  number: 6-0-25</t>
  </si>
  <si>
    <t xml:space="preserve"> l_Rollover_5:</t>
  </si>
  <si>
    <t xml:space="preserve">  number: 6-0-26</t>
  </si>
  <si>
    <t xml:space="preserve"> l_SPECIAL:</t>
  </si>
  <si>
    <t xml:space="preserve">  number: 6-0-27</t>
  </si>
  <si>
    <t xml:space="preserve"> l_Target_10:</t>
  </si>
  <si>
    <t xml:space="preserve">  number: 6-0-28</t>
  </si>
  <si>
    <t xml:space="preserve"> l_Rollover_1:</t>
  </si>
  <si>
    <t xml:space="preserve">  number: 6-0-29</t>
  </si>
  <si>
    <t xml:space="preserve"> l_Rollover_7:</t>
  </si>
  <si>
    <t xml:space="preserve">  number: 6-0-30</t>
  </si>
  <si>
    <t xml:space="preserve"> l_Rollover_4:</t>
  </si>
  <si>
    <t xml:space="preserve">  number: 6-0-31</t>
  </si>
  <si>
    <t xml:space="preserve"> l_Player1_score:</t>
  </si>
  <si>
    <t xml:space="preserve">  number: 7-0-8</t>
  </si>
  <si>
    <t xml:space="preserve"> l_Player2_score:</t>
  </si>
  <si>
    <t xml:space="preserve">  number: 7-0-9</t>
  </si>
  <si>
    <t xml:space="preserve"> l_Player3_score:</t>
  </si>
  <si>
    <t xml:space="preserve">  number: 7-0-10</t>
  </si>
  <si>
    <t xml:space="preserve"> l_Player4_score:</t>
  </si>
  <si>
    <t xml:space="preserve">  number: 7-0-11</t>
  </si>
  <si>
    <t xml:space="preserve"> l_TILT:</t>
  </si>
  <si>
    <t xml:space="preserve">  number: 7-0-12</t>
  </si>
  <si>
    <t xml:space="preserve"> l_Game_over:</t>
  </si>
  <si>
    <t xml:space="preserve">  number: 7-0-13</t>
  </si>
  <si>
    <t xml:space="preserve"> l_Extra_Ball:</t>
  </si>
  <si>
    <t xml:space="preserve">  number: 7-0-14</t>
  </si>
  <si>
    <t xml:space="preserve"> l_Ball1:</t>
  </si>
  <si>
    <t xml:space="preserve">  number: 7-0-24</t>
  </si>
  <si>
    <t xml:space="preserve"> l_Ball2:</t>
  </si>
  <si>
    <t xml:space="preserve">  number: 7-0-25</t>
  </si>
  <si>
    <t xml:space="preserve"> l_Ball3:</t>
  </si>
  <si>
    <t xml:space="preserve">  number: 7-0-26</t>
  </si>
  <si>
    <t xml:space="preserve"> l_Player1_turn:</t>
  </si>
  <si>
    <t xml:space="preserve">  number: 7-0-27</t>
  </si>
  <si>
    <t xml:space="preserve"> l_Player2_turn:</t>
  </si>
  <si>
    <t xml:space="preserve">  number: 7-0-28</t>
  </si>
  <si>
    <t xml:space="preserve"> l_Player3_turn:</t>
  </si>
  <si>
    <t xml:space="preserve">  number: 7-0-29</t>
  </si>
  <si>
    <t xml:space="preserve"> l_Player4_turn:</t>
  </si>
  <si>
    <t xml:space="preserve">  number: 7-0-30</t>
  </si>
  <si>
    <t>Backbox_Player1_score</t>
  </si>
  <si>
    <t>Backbox_Extra_Ball</t>
  </si>
  <si>
    <t>Backbox_Game_over</t>
  </si>
  <si>
    <t>Backbox_TILT</t>
  </si>
  <si>
    <t>Backbox_Player4_score</t>
  </si>
  <si>
    <t>Backbox_Player3_score</t>
  </si>
  <si>
    <t>Backbox_Player2_score</t>
  </si>
  <si>
    <t>Backbox_Ball1</t>
  </si>
  <si>
    <t>Backbox_Ball2</t>
  </si>
  <si>
    <t>Backbox_Ball3</t>
  </si>
  <si>
    <t>Backbox_Player1_turn</t>
  </si>
  <si>
    <t>Backbox_Player2_turn</t>
  </si>
  <si>
    <t>Backbox_Player3_turn</t>
  </si>
  <si>
    <t>Backbox_Player4_turn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</si>
</sst>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rgb="FF660066"/>
      <name val="Courier New"/>
      <family val="3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0"/>
      <color rgb="FF222222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Border="1"/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0" fontId="0" fillId="0" borderId="13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/>
    <xf numFmtId="0" fontId="0" fillId="0" borderId="16" xfId="0" applyBorder="1"/>
    <xf numFmtId="0" fontId="0" fillId="0" borderId="15" xfId="0" applyBorder="1"/>
    <xf numFmtId="0" fontId="0" fillId="0" borderId="0" xfId="0" applyAlignment="1">
      <alignment horizontal="left"/>
    </xf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2" xfId="0" applyBorder="1"/>
    <xf numFmtId="0" fontId="0" fillId="0" borderId="23" xfId="0" applyBorder="1"/>
    <xf numFmtId="0" fontId="0" fillId="0" borderId="15" xfId="0" applyFill="1" applyBorder="1" applyAlignment="1">
      <alignment horizontal="center"/>
    </xf>
    <xf numFmtId="0" fontId="2" fillId="0" borderId="0" xfId="0" applyFont="1"/>
    <xf numFmtId="0" fontId="3" fillId="0" borderId="0" xfId="1"/>
    <xf numFmtId="0" fontId="4" fillId="0" borderId="0" xfId="0" applyFont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4" xfId="0" applyFill="1" applyBorder="1"/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2" fillId="0" borderId="0" xfId="0" applyFont="1" applyAlignment="1">
      <alignment horizontal="right"/>
    </xf>
    <xf numFmtId="0" fontId="0" fillId="5" borderId="1" xfId="0" applyFill="1" applyBorder="1" applyAlignment="1">
      <alignment horizont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6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1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8</xdr:col>
      <xdr:colOff>175825</xdr:colOff>
      <xdr:row>43</xdr:row>
      <xdr:rowOff>7985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0"/>
          <a:ext cx="6515665" cy="4214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22860</xdr:rowOff>
        </xdr:from>
        <xdr:to>
          <xdr:col>10</xdr:col>
          <xdr:colOff>533400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0</xdr:row>
          <xdr:rowOff>22860</xdr:rowOff>
        </xdr:from>
        <xdr:to>
          <xdr:col>11</xdr:col>
          <xdr:colOff>274320</xdr:colOff>
          <xdr:row>5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746760</xdr:colOff>
          <xdr:row>0</xdr:row>
          <xdr:rowOff>0</xdr:rowOff>
        </xdr:from>
        <xdr:to>
          <xdr:col>10</xdr:col>
          <xdr:colOff>518160</xdr:colOff>
          <xdr:row>5</xdr:row>
          <xdr:rowOff>106680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eslumieresdanslesyeux.f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8F78-A7C2-4266-A8E5-BCE8EBBCB6AC}">
  <sheetPr codeName="Feuil1"/>
  <dimension ref="A1:B19"/>
  <sheetViews>
    <sheetView zoomScale="53" workbookViewId="0">
      <selection activeCell="J34" sqref="J34"/>
    </sheetView>
  </sheetViews>
  <sheetFormatPr baseColWidth="10" defaultRowHeight="14.4" x14ac:dyDescent="0.3"/>
  <sheetData>
    <row r="1" spans="1:1" x14ac:dyDescent="0.3">
      <c r="A1" s="34" t="s">
        <v>58</v>
      </c>
    </row>
    <row r="3" spans="1:1" x14ac:dyDescent="0.3">
      <c r="A3" t="s">
        <v>66</v>
      </c>
    </row>
    <row r="4" spans="1:1" x14ac:dyDescent="0.3">
      <c r="A4" t="s">
        <v>53</v>
      </c>
    </row>
    <row r="5" spans="1:1" x14ac:dyDescent="0.3">
      <c r="A5" t="s">
        <v>54</v>
      </c>
    </row>
    <row r="7" spans="1:1" x14ac:dyDescent="0.3">
      <c r="A7" t="s">
        <v>68</v>
      </c>
    </row>
    <row r="8" spans="1:1" x14ac:dyDescent="0.3">
      <c r="A8" t="s">
        <v>67</v>
      </c>
    </row>
    <row r="9" spans="1:1" x14ac:dyDescent="0.3">
      <c r="A9" t="s">
        <v>57</v>
      </c>
    </row>
    <row r="10" spans="1:1" x14ac:dyDescent="0.3">
      <c r="A10" t="s">
        <v>69</v>
      </c>
    </row>
    <row r="12" spans="1:1" x14ac:dyDescent="0.3">
      <c r="A12" s="34" t="s">
        <v>65</v>
      </c>
    </row>
    <row r="13" spans="1:1" x14ac:dyDescent="0.3">
      <c r="A13" s="34"/>
    </row>
    <row r="14" spans="1:1" x14ac:dyDescent="0.3">
      <c r="A14" s="36" t="s">
        <v>59</v>
      </c>
    </row>
    <row r="15" spans="1:1" x14ac:dyDescent="0.3">
      <c r="A15" t="s">
        <v>60</v>
      </c>
    </row>
    <row r="17" spans="1:2" x14ac:dyDescent="0.3">
      <c r="A17" s="36" t="s">
        <v>61</v>
      </c>
    </row>
    <row r="18" spans="1:2" x14ac:dyDescent="0.3">
      <c r="A18" t="s">
        <v>62</v>
      </c>
    </row>
    <row r="19" spans="1:2" x14ac:dyDescent="0.3">
      <c r="A19" t="s">
        <v>63</v>
      </c>
      <c r="B19" s="35" t="s">
        <v>64</v>
      </c>
    </row>
  </sheetData>
  <hyperlinks>
    <hyperlink ref="B19" r:id="rId1" xr:uid="{E89EA9FA-A960-427D-87B2-A7BBEB4B4BD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23FB-7552-4AFA-AFC5-06E1D947736D}">
  <sheetPr codeName="Feuil13">
    <pageSetUpPr fitToPage="1"/>
  </sheetPr>
  <dimension ref="A1:Q75"/>
  <sheetViews>
    <sheetView topLeftCell="C15" zoomScale="55" zoomScaleNormal="55" workbookViewId="0">
      <selection activeCell="A4" sqref="A4"/>
    </sheetView>
  </sheetViews>
  <sheetFormatPr baseColWidth="10" defaultRowHeight="14.4" x14ac:dyDescent="0.3"/>
  <cols>
    <col min="1" max="1" width="28.44140625" customWidth="1"/>
    <col min="2" max="2" width="12.109375" bestFit="1" customWidth="1"/>
    <col min="3" max="3" width="0.5546875" customWidth="1"/>
    <col min="4" max="4" width="6.6640625" bestFit="1" customWidth="1"/>
    <col min="5" max="5" width="28.44140625" customWidth="1"/>
    <col min="7" max="7" width="28.44140625" customWidth="1"/>
    <col min="8" max="8" width="12.109375" bestFit="1" customWidth="1"/>
    <col min="9" max="9" width="0.44140625" customWidth="1"/>
    <col min="10" max="10" width="6.6640625" bestFit="1" customWidth="1"/>
    <col min="11" max="11" width="28.44140625" customWidth="1"/>
    <col min="13" max="13" width="28.44140625" customWidth="1"/>
    <col min="14" max="14" width="12.109375" bestFit="1" customWidth="1"/>
    <col min="15" max="15" width="0.5546875" customWidth="1"/>
    <col min="16" max="16" width="6.6640625" bestFit="1" customWidth="1"/>
    <col min="17" max="17" width="28.44140625" customWidth="1"/>
  </cols>
  <sheetData>
    <row r="1" spans="1:17" ht="15" thickBot="1" x14ac:dyDescent="0.35">
      <c r="A1" s="34" t="s">
        <v>70</v>
      </c>
      <c r="E1" s="34" t="s">
        <v>71</v>
      </c>
    </row>
    <row r="2" spans="1:17" ht="15" thickBot="1" x14ac:dyDescent="0.35">
      <c r="A2" s="17" t="str">
        <f>'STM-card (1)'!D2</f>
        <v>STM32 CARD NUMBER :</v>
      </c>
      <c r="B2" s="40">
        <f>'STM-card (1)'!E2</f>
        <v>1</v>
      </c>
      <c r="G2" s="17" t="str">
        <f>'STM-card (2)'!D2</f>
        <v>STM32 CARD NUMBER :</v>
      </c>
      <c r="H2" s="40">
        <f>'STM-card (2)'!E2</f>
        <v>2</v>
      </c>
      <c r="M2" s="17" t="str">
        <f>'STM-card (3)'!D2</f>
        <v>STM32 CARD NUMBER :</v>
      </c>
      <c r="N2" s="40">
        <f>'STM-card (3)'!E2</f>
        <v>3</v>
      </c>
    </row>
    <row r="4" spans="1:17" ht="15" thickBot="1" x14ac:dyDescent="0.35">
      <c r="A4" s="11" t="str">
        <f>'STM-card (1)'!D4</f>
        <v>WING 2 - SOLENOID</v>
      </c>
      <c r="G4" s="11" t="str">
        <f>'STM-card (2)'!D4</f>
        <v>WING 2 - INPUT</v>
      </c>
      <c r="M4" s="11" t="str">
        <f>'STM-card (3)'!D4</f>
        <v>WING 2 - INPUT</v>
      </c>
    </row>
    <row r="5" spans="1:17" x14ac:dyDescent="0.3">
      <c r="A5" s="44" t="str">
        <f>'STM-card (1)'!D5</f>
        <v>Slingshot_Left</v>
      </c>
      <c r="B5" s="2" t="str">
        <f>'STM-card (1)'!E5</f>
        <v>VB/SWCLK</v>
      </c>
      <c r="C5" s="3"/>
      <c r="D5" s="4" t="str">
        <f>'STM-card (1)'!G5</f>
        <v>3.3</v>
      </c>
      <c r="E5" s="1"/>
      <c r="G5" s="44" t="str">
        <f>'STM-card (2)'!D5</f>
        <v>Target_1000</v>
      </c>
      <c r="H5" s="2" t="str">
        <f>'STM-card (2)'!E5</f>
        <v>VB/SWCLK</v>
      </c>
      <c r="I5" s="3"/>
      <c r="J5" s="4" t="str">
        <f>'STM-card (2)'!G5</f>
        <v>3.3</v>
      </c>
      <c r="K5" s="1"/>
      <c r="M5" s="44">
        <f>'STM-card (3)'!D5</f>
        <v>0</v>
      </c>
      <c r="N5" s="2" t="str">
        <f>'STM-card (3)'!E5</f>
        <v>VB/SWCLK</v>
      </c>
      <c r="O5" s="3"/>
      <c r="P5" s="4" t="str">
        <f>'STM-card (3)'!G5</f>
        <v>3.3</v>
      </c>
      <c r="Q5" s="1"/>
    </row>
    <row r="6" spans="1:17" x14ac:dyDescent="0.3">
      <c r="A6" s="45" t="str">
        <f>'STM-card (1)'!D6</f>
        <v>Slingshot_Right</v>
      </c>
      <c r="B6" s="5" t="str">
        <f>'STM-card (1)'!E6</f>
        <v>C13</v>
      </c>
      <c r="C6" s="6"/>
      <c r="D6" s="7" t="str">
        <f>'STM-card (1)'!G6</f>
        <v>G</v>
      </c>
      <c r="E6" s="1"/>
      <c r="G6" s="45" t="str">
        <f>'STM-card (2)'!D6</f>
        <v>Lane_Top_Left</v>
      </c>
      <c r="H6" s="5" t="str">
        <f>'STM-card (2)'!E6</f>
        <v>C13</v>
      </c>
      <c r="I6" s="6"/>
      <c r="J6" s="7" t="str">
        <f>'STM-card (2)'!G6</f>
        <v>G</v>
      </c>
      <c r="K6" s="1"/>
      <c r="M6" s="45">
        <f>'STM-card (3)'!D6</f>
        <v>0</v>
      </c>
      <c r="N6" s="5" t="str">
        <f>'STM-card (3)'!E6</f>
        <v>C13</v>
      </c>
      <c r="O6" s="6"/>
      <c r="P6" s="7" t="str">
        <f>'STM-card (3)'!G6</f>
        <v>G</v>
      </c>
      <c r="Q6" s="1"/>
    </row>
    <row r="7" spans="1:17" ht="15" thickBot="1" x14ac:dyDescent="0.35">
      <c r="A7" s="45" t="str">
        <f>'STM-card (1)'!D7</f>
        <v>Drain</v>
      </c>
      <c r="B7" s="5" t="str">
        <f>'STM-card (1)'!E7</f>
        <v>C14</v>
      </c>
      <c r="C7" s="6"/>
      <c r="D7" s="7" t="str">
        <f>'STM-card (1)'!G7</f>
        <v>5V</v>
      </c>
      <c r="E7" s="12" t="str">
        <f>'STM-card (1)'!H7</f>
        <v>WING 1 - SOLENOID</v>
      </c>
      <c r="G7" s="45" t="str">
        <f>'STM-card (2)'!D7</f>
        <v>Lane_Top_Right</v>
      </c>
      <c r="H7" s="5" t="str">
        <f>'STM-card (2)'!E7</f>
        <v>C14</v>
      </c>
      <c r="I7" s="6"/>
      <c r="J7" s="7" t="str">
        <f>'STM-card (2)'!G7</f>
        <v>5V</v>
      </c>
      <c r="K7" s="12" t="str">
        <f>'STM-card (2)'!H7</f>
        <v>WING 1 - SOLENOID</v>
      </c>
      <c r="M7" s="45">
        <f>'STM-card (3)'!D7</f>
        <v>0</v>
      </c>
      <c r="N7" s="5" t="str">
        <f>'STM-card (3)'!E7</f>
        <v>C14</v>
      </c>
      <c r="O7" s="6"/>
      <c r="P7" s="7" t="str">
        <f>'STM-card (3)'!G7</f>
        <v>5V</v>
      </c>
      <c r="Q7" s="12" t="str">
        <f>'STM-card (3)'!H7</f>
        <v>WING 1 - SOLENOID</v>
      </c>
    </row>
    <row r="8" spans="1:17" x14ac:dyDescent="0.3">
      <c r="A8" s="45">
        <f>'STM-card (1)'!D8</f>
        <v>0</v>
      </c>
      <c r="B8" s="5" t="str">
        <f>'STM-card (1)'!E8</f>
        <v>C15</v>
      </c>
      <c r="C8" s="6"/>
      <c r="D8" s="7" t="str">
        <f>'STM-card (1)'!G8</f>
        <v>B9</v>
      </c>
      <c r="E8" s="44">
        <f>'STM-card (1)'!H8</f>
        <v>0</v>
      </c>
      <c r="G8" s="45" t="str">
        <f>'STM-card (2)'!D8</f>
        <v>Rollover_1000</v>
      </c>
      <c r="H8" s="5" t="str">
        <f>'STM-card (2)'!E8</f>
        <v>C15</v>
      </c>
      <c r="I8" s="6"/>
      <c r="J8" s="7" t="str">
        <f>'STM-card (2)'!G8</f>
        <v>B9</v>
      </c>
      <c r="K8" s="44">
        <f>'STM-card (2)'!H8</f>
        <v>0</v>
      </c>
      <c r="M8" s="45">
        <f>'STM-card (3)'!D8</f>
        <v>0</v>
      </c>
      <c r="N8" s="5" t="str">
        <f>'STM-card (3)'!E8</f>
        <v>C15</v>
      </c>
      <c r="O8" s="6"/>
      <c r="P8" s="7" t="str">
        <f>'STM-card (3)'!G8</f>
        <v>B9</v>
      </c>
      <c r="Q8" s="44">
        <f>'STM-card (3)'!H8</f>
        <v>0</v>
      </c>
    </row>
    <row r="9" spans="1:17" x14ac:dyDescent="0.3">
      <c r="A9" s="45">
        <f>'STM-card (1)'!D9</f>
        <v>0</v>
      </c>
      <c r="B9" s="5" t="str">
        <f>'STM-card (1)'!E9</f>
        <v>A0</v>
      </c>
      <c r="C9" s="6"/>
      <c r="D9" s="7" t="str">
        <f>'STM-card (1)'!G9</f>
        <v>B8</v>
      </c>
      <c r="E9" s="45">
        <f>'STM-card (1)'!H9</f>
        <v>0</v>
      </c>
      <c r="G9" s="45" t="str">
        <f>'STM-card (2)'!D9</f>
        <v>SPECIAL</v>
      </c>
      <c r="H9" s="5" t="str">
        <f>'STM-card (2)'!E9</f>
        <v>A0</v>
      </c>
      <c r="I9" s="6"/>
      <c r="J9" s="7" t="str">
        <f>'STM-card (2)'!G9</f>
        <v>B8</v>
      </c>
      <c r="K9" s="45">
        <f>'STM-card (2)'!H9</f>
        <v>0</v>
      </c>
      <c r="M9" s="45">
        <f>'STM-card (3)'!D9</f>
        <v>0</v>
      </c>
      <c r="N9" s="5" t="str">
        <f>'STM-card (3)'!E9</f>
        <v>A0</v>
      </c>
      <c r="O9" s="6"/>
      <c r="P9" s="7" t="str">
        <f>'STM-card (3)'!G9</f>
        <v>B8</v>
      </c>
      <c r="Q9" s="45">
        <f>'STM-card (3)'!H9</f>
        <v>0</v>
      </c>
    </row>
    <row r="10" spans="1:17" x14ac:dyDescent="0.3">
      <c r="A10" s="45">
        <f>'STM-card (1)'!D10</f>
        <v>0</v>
      </c>
      <c r="B10" s="5" t="str">
        <f>'STM-card (1)'!E10</f>
        <v>A1</v>
      </c>
      <c r="C10" s="6"/>
      <c r="D10" s="7" t="str">
        <f>'STM-card (1)'!G10</f>
        <v>B7</v>
      </c>
      <c r="E10" s="45">
        <f>'STM-card (1)'!H10</f>
        <v>0</v>
      </c>
      <c r="G10" s="45" t="str">
        <f>'STM-card (2)'!D10</f>
        <v>Target_Adv_Bonus_Right_Top</v>
      </c>
      <c r="H10" s="5" t="str">
        <f>'STM-card (2)'!E10</f>
        <v>A1</v>
      </c>
      <c r="I10" s="6"/>
      <c r="J10" s="7" t="str">
        <f>'STM-card (2)'!G10</f>
        <v>B7</v>
      </c>
      <c r="K10" s="45">
        <f>'STM-card (2)'!H10</f>
        <v>0</v>
      </c>
      <c r="M10" s="45">
        <f>'STM-card (3)'!D10</f>
        <v>0</v>
      </c>
      <c r="N10" s="5" t="str">
        <f>'STM-card (3)'!E10</f>
        <v>A1</v>
      </c>
      <c r="O10" s="6"/>
      <c r="P10" s="7" t="str">
        <f>'STM-card (3)'!G10</f>
        <v>B7</v>
      </c>
      <c r="Q10" s="45">
        <f>'STM-card (3)'!H10</f>
        <v>0</v>
      </c>
    </row>
    <row r="11" spans="1:17" x14ac:dyDescent="0.3">
      <c r="A11" s="45">
        <f>'STM-card (1)'!D11</f>
        <v>0</v>
      </c>
      <c r="B11" s="5" t="str">
        <f>'STM-card (1)'!E11</f>
        <v>A2</v>
      </c>
      <c r="C11" s="6"/>
      <c r="D11" s="7" t="str">
        <f>'STM-card (1)'!G11</f>
        <v>B6</v>
      </c>
      <c r="E11" s="45">
        <f>'STM-card (1)'!H11</f>
        <v>0</v>
      </c>
      <c r="G11" s="45" t="str">
        <f>'STM-card (2)'!D11</f>
        <v>Target_Adv_Bonus_Left_Top</v>
      </c>
      <c r="H11" s="5" t="str">
        <f>'STM-card (2)'!E11</f>
        <v>A2</v>
      </c>
      <c r="I11" s="6"/>
      <c r="J11" s="7" t="str">
        <f>'STM-card (2)'!G11</f>
        <v>B6</v>
      </c>
      <c r="K11" s="45">
        <f>'STM-card (2)'!H11</f>
        <v>0</v>
      </c>
      <c r="M11" s="45">
        <f>'STM-card (3)'!D11</f>
        <v>0</v>
      </c>
      <c r="N11" s="5" t="str">
        <f>'STM-card (3)'!E11</f>
        <v>A2</v>
      </c>
      <c r="O11" s="6"/>
      <c r="P11" s="7" t="str">
        <f>'STM-card (3)'!G11</f>
        <v>B6</v>
      </c>
      <c r="Q11" s="45">
        <f>'STM-card (3)'!H11</f>
        <v>0</v>
      </c>
    </row>
    <row r="12" spans="1:17" ht="15" thickBot="1" x14ac:dyDescent="0.35">
      <c r="A12" s="46">
        <f>'STM-card (1)'!D12</f>
        <v>0</v>
      </c>
      <c r="B12" s="5" t="str">
        <f>'STM-card (1)'!E12</f>
        <v>A3</v>
      </c>
      <c r="C12" s="6"/>
      <c r="D12" s="7" t="str">
        <f>'STM-card (1)'!G12</f>
        <v>B5</v>
      </c>
      <c r="E12" s="45" t="str">
        <f>'STM-card (1)'!H12</f>
        <v>Flipper_Right_Top</v>
      </c>
      <c r="G12" s="46" t="str">
        <f>'STM-card (2)'!D12</f>
        <v>Target_A</v>
      </c>
      <c r="H12" s="5" t="str">
        <f>'STM-card (2)'!E12</f>
        <v>A3</v>
      </c>
      <c r="I12" s="6"/>
      <c r="J12" s="7" t="str">
        <f>'STM-card (2)'!G12</f>
        <v>B5</v>
      </c>
      <c r="K12" s="45">
        <f>'STM-card (2)'!H12</f>
        <v>0</v>
      </c>
      <c r="M12" s="46">
        <f>'STM-card (3)'!D12</f>
        <v>0</v>
      </c>
      <c r="N12" s="5" t="str">
        <f>'STM-card (3)'!E12</f>
        <v>A3</v>
      </c>
      <c r="O12" s="6"/>
      <c r="P12" s="7" t="str">
        <f>'STM-card (3)'!G12</f>
        <v>B5</v>
      </c>
      <c r="Q12" s="45" t="str">
        <f>'STM-card (3)'!H12</f>
        <v>Knocker</v>
      </c>
    </row>
    <row r="13" spans="1:17" x14ac:dyDescent="0.3">
      <c r="A13" s="44" t="str">
        <f>'STM-card (1)'!D13</f>
        <v>Outlane_Left</v>
      </c>
      <c r="B13" s="5" t="str">
        <f>'STM-card (1)'!E13</f>
        <v>A4</v>
      </c>
      <c r="C13" s="6"/>
      <c r="D13" s="7" t="str">
        <f>'STM-card (1)'!G13</f>
        <v>B4</v>
      </c>
      <c r="E13" s="45" t="str">
        <f>'STM-card (1)'!H13</f>
        <v>Flipper_Right_Bottom</v>
      </c>
      <c r="G13" s="44">
        <f>'STM-card (2)'!D13</f>
        <v>0</v>
      </c>
      <c r="H13" s="5" t="str">
        <f>'STM-card (2)'!E13</f>
        <v>A4</v>
      </c>
      <c r="I13" s="6"/>
      <c r="J13" s="7" t="str">
        <f>'STM-card (2)'!G13</f>
        <v>B4</v>
      </c>
      <c r="K13" s="45" t="str">
        <f>'STM-card (2)'!H13</f>
        <v>Top_Bumper</v>
      </c>
      <c r="M13" s="44" t="str">
        <f>'STM-card (3)'!D13</f>
        <v>Start_button</v>
      </c>
      <c r="N13" s="5" t="str">
        <f>'STM-card (3)'!E13</f>
        <v>A4</v>
      </c>
      <c r="O13" s="6"/>
      <c r="P13" s="7" t="str">
        <f>'STM-card (3)'!G13</f>
        <v>B4</v>
      </c>
      <c r="Q13" s="45" t="str">
        <f>'STM-card (3)'!H13</f>
        <v>Chime_3</v>
      </c>
    </row>
    <row r="14" spans="1:17" x14ac:dyDescent="0.3">
      <c r="A14" s="45" t="str">
        <f>'STM-card (1)'!D14</f>
        <v>Target_Adv_Bonus_Left_Bottom</v>
      </c>
      <c r="B14" s="5" t="str">
        <f>'STM-card (1)'!E14</f>
        <v>A5</v>
      </c>
      <c r="C14" s="6"/>
      <c r="D14" s="7" t="str">
        <f>'STM-card (1)'!G14</f>
        <v>B3</v>
      </c>
      <c r="E14" s="45" t="str">
        <f>'STM-card (1)'!H14</f>
        <v>Flipper_Left_Top</v>
      </c>
      <c r="G14" s="45">
        <f>'STM-card (2)'!D14</f>
        <v>0</v>
      </c>
      <c r="H14" s="5" t="str">
        <f>'STM-card (2)'!E14</f>
        <v>A5</v>
      </c>
      <c r="I14" s="6"/>
      <c r="J14" s="7" t="str">
        <f>'STM-card (2)'!G14</f>
        <v>B3</v>
      </c>
      <c r="K14" s="45" t="str">
        <f>'STM-card (2)'!H14</f>
        <v>Right_Bumper</v>
      </c>
      <c r="M14" s="45" t="str">
        <f>'STM-card (3)'!D14</f>
        <v>Tilt_Plumb</v>
      </c>
      <c r="N14" s="5" t="str">
        <f>'STM-card (3)'!E14</f>
        <v>A5</v>
      </c>
      <c r="O14" s="6"/>
      <c r="P14" s="7" t="str">
        <f>'STM-card (3)'!G14</f>
        <v>B3</v>
      </c>
      <c r="Q14" s="45" t="str">
        <f>'STM-card (3)'!H14</f>
        <v>Chime_2</v>
      </c>
    </row>
    <row r="15" spans="1:17" ht="15" thickBot="1" x14ac:dyDescent="0.35">
      <c r="A15" s="45" t="str">
        <f>'STM-card (1)'!D15</f>
        <v>Target_10</v>
      </c>
      <c r="B15" s="5" t="str">
        <f>'STM-card (1)'!E15</f>
        <v>A6</v>
      </c>
      <c r="C15" s="6"/>
      <c r="D15" s="7" t="str">
        <f>'STM-card (1)'!G15</f>
        <v>A15</v>
      </c>
      <c r="E15" s="46" t="str">
        <f>'STM-card (1)'!H15</f>
        <v>Flipper_Left_Bottom</v>
      </c>
      <c r="G15" s="45">
        <f>'STM-card (2)'!D15</f>
        <v>0</v>
      </c>
      <c r="H15" s="5" t="str">
        <f>'STM-card (2)'!E15</f>
        <v>A6</v>
      </c>
      <c r="I15" s="6"/>
      <c r="J15" s="7" t="str">
        <f>'STM-card (2)'!G15</f>
        <v>A15</v>
      </c>
      <c r="K15" s="46" t="str">
        <f>'STM-card (2)'!H15</f>
        <v>Left_Bumper</v>
      </c>
      <c r="M15" s="45" t="str">
        <f>'STM-card (3)'!D15</f>
        <v>Tilt_Roll</v>
      </c>
      <c r="N15" s="5" t="str">
        <f>'STM-card (3)'!E15</f>
        <v>A6</v>
      </c>
      <c r="O15" s="6"/>
      <c r="P15" s="7" t="str">
        <f>'STM-card (3)'!G15</f>
        <v>A15</v>
      </c>
      <c r="Q15" s="46" t="str">
        <f>'STM-card (3)'!H15</f>
        <v>Chime_1</v>
      </c>
    </row>
    <row r="16" spans="1:17" x14ac:dyDescent="0.3">
      <c r="A16" s="45" t="str">
        <f>'STM-card (1)'!D16</f>
        <v>Rollover_7</v>
      </c>
      <c r="B16" s="5" t="str">
        <f>'STM-card (1)'!E16</f>
        <v>A7</v>
      </c>
      <c r="C16" s="6"/>
      <c r="D16" s="13" t="str">
        <f>'STM-card (1)'!G16</f>
        <v>A12</v>
      </c>
      <c r="E16" s="1"/>
      <c r="G16" s="45">
        <f>'STM-card (2)'!D16</f>
        <v>0</v>
      </c>
      <c r="H16" s="5" t="str">
        <f>'STM-card (2)'!E16</f>
        <v>A7</v>
      </c>
      <c r="I16" s="6"/>
      <c r="J16" s="13" t="str">
        <f>'STM-card (2)'!G16</f>
        <v>A12</v>
      </c>
      <c r="K16" s="1"/>
      <c r="M16" s="45">
        <f>'STM-card (3)'!D16</f>
        <v>0</v>
      </c>
      <c r="N16" s="5" t="str">
        <f>'STM-card (3)'!E16</f>
        <v>A7</v>
      </c>
      <c r="O16" s="6"/>
      <c r="P16" s="13" t="str">
        <f>'STM-card (3)'!G16</f>
        <v>A12</v>
      </c>
      <c r="Q16" s="1"/>
    </row>
    <row r="17" spans="1:17" ht="15" thickBot="1" x14ac:dyDescent="0.35">
      <c r="A17" s="45" t="str">
        <f>'STM-card (1)'!D17</f>
        <v>Rollover_8</v>
      </c>
      <c r="B17" s="5" t="str">
        <f>'STM-card (1)'!E17</f>
        <v>B0</v>
      </c>
      <c r="C17" s="6"/>
      <c r="D17" s="13" t="str">
        <f>'STM-card (1)'!G17</f>
        <v>A11</v>
      </c>
      <c r="E17" s="12" t="str">
        <f>'STM-card (1)'!H17</f>
        <v>WING 0 - NEOPIXEL</v>
      </c>
      <c r="G17" s="45">
        <f>'STM-card (2)'!D17</f>
        <v>0</v>
      </c>
      <c r="H17" s="5" t="str">
        <f>'STM-card (2)'!E17</f>
        <v>B0</v>
      </c>
      <c r="I17" s="6"/>
      <c r="J17" s="13" t="str">
        <f>'STM-card (2)'!G17</f>
        <v>A11</v>
      </c>
      <c r="K17" s="12" t="str">
        <f>'STM-card (2)'!H17</f>
        <v>WING 0 - NEOPIXEL</v>
      </c>
      <c r="M17" s="45">
        <f>'STM-card (3)'!D17</f>
        <v>0</v>
      </c>
      <c r="N17" s="5" t="str">
        <f>'STM-card (3)'!E17</f>
        <v>B0</v>
      </c>
      <c r="O17" s="6"/>
      <c r="P17" s="13" t="str">
        <f>'STM-card (3)'!G17</f>
        <v>A11</v>
      </c>
      <c r="Q17" s="12" t="str">
        <f>'STM-card (3)'!H17</f>
        <v>WING 0 - INPUT</v>
      </c>
    </row>
    <row r="18" spans="1:17" x14ac:dyDescent="0.3">
      <c r="A18" s="45" t="str">
        <f>'STM-card (1)'!D18</f>
        <v>Rollover_9</v>
      </c>
      <c r="B18" s="5" t="str">
        <f>'STM-card (1)'!E18</f>
        <v>B1</v>
      </c>
      <c r="C18" s="6"/>
      <c r="D18" s="6" t="str">
        <f>'STM-card (1)'!G18</f>
        <v>A10</v>
      </c>
      <c r="E18" s="44" t="str">
        <f>'STM-card (1)'!H18</f>
        <v>Tilt_playfield</v>
      </c>
      <c r="G18" s="45">
        <f>'STM-card (2)'!D18</f>
        <v>0</v>
      </c>
      <c r="H18" s="5" t="str">
        <f>'STM-card (2)'!E18</f>
        <v>B1</v>
      </c>
      <c r="I18" s="6"/>
      <c r="J18" s="6" t="str">
        <f>'STM-card (2)'!G18</f>
        <v>A10</v>
      </c>
      <c r="K18" s="44" t="str">
        <f>'STM-card (2)'!H18</f>
        <v>Rollover_1</v>
      </c>
      <c r="M18" s="45">
        <f>'STM-card (3)'!D18</f>
        <v>0</v>
      </c>
      <c r="N18" s="5" t="str">
        <f>'STM-card (3)'!E18</f>
        <v>B1</v>
      </c>
      <c r="O18" s="6"/>
      <c r="P18" s="6" t="str">
        <f>'STM-card (3)'!G18</f>
        <v>A10</v>
      </c>
      <c r="Q18" s="44">
        <f>'STM-card (3)'!H18</f>
        <v>0</v>
      </c>
    </row>
    <row r="19" spans="1:17" x14ac:dyDescent="0.3">
      <c r="A19" s="45" t="str">
        <f>'STM-card (1)'!D19</f>
        <v>Inlane_Bottom</v>
      </c>
      <c r="B19" s="5" t="str">
        <f>'STM-card (1)'!E19</f>
        <v>B10</v>
      </c>
      <c r="C19" s="6"/>
      <c r="D19" s="6" t="str">
        <f>'STM-card (1)'!G19</f>
        <v>A9</v>
      </c>
      <c r="E19" s="45">
        <f>'STM-card (1)'!H19</f>
        <v>0</v>
      </c>
      <c r="G19" s="45">
        <f>'STM-card (2)'!D19</f>
        <v>0</v>
      </c>
      <c r="H19" s="5" t="str">
        <f>'STM-card (2)'!E19</f>
        <v>B10</v>
      </c>
      <c r="I19" s="6"/>
      <c r="J19" s="6" t="str">
        <f>'STM-card (2)'!G19</f>
        <v>A9</v>
      </c>
      <c r="K19" s="45" t="str">
        <f>'STM-card (2)'!H19</f>
        <v>Rollover_2</v>
      </c>
      <c r="M19" s="45">
        <f>'STM-card (3)'!D19</f>
        <v>0</v>
      </c>
      <c r="N19" s="5" t="str">
        <f>'STM-card (3)'!E19</f>
        <v>B10</v>
      </c>
      <c r="O19" s="6"/>
      <c r="P19" s="6" t="str">
        <f>'STM-card (3)'!G19</f>
        <v>A9</v>
      </c>
      <c r="Q19" s="45">
        <f>'STM-card (3)'!H19</f>
        <v>0</v>
      </c>
    </row>
    <row r="20" spans="1:17" ht="15" thickBot="1" x14ac:dyDescent="0.35">
      <c r="A20" s="46" t="str">
        <f>'STM-card (1)'!D20</f>
        <v>Outlane_Right</v>
      </c>
      <c r="B20" s="5" t="str">
        <f>'STM-card (1)'!E20</f>
        <v>B11</v>
      </c>
      <c r="C20" s="6"/>
      <c r="D20" s="6" t="str">
        <f>'STM-card (1)'!G20</f>
        <v>A8</v>
      </c>
      <c r="E20" s="45">
        <f>'STM-card (1)'!H20</f>
        <v>0</v>
      </c>
      <c r="G20" s="46">
        <f>'STM-card (2)'!D20</f>
        <v>0</v>
      </c>
      <c r="H20" s="5" t="str">
        <f>'STM-card (2)'!E20</f>
        <v>B11</v>
      </c>
      <c r="I20" s="6"/>
      <c r="J20" s="6" t="str">
        <f>'STM-card (2)'!G20</f>
        <v>A8</v>
      </c>
      <c r="K20" s="45" t="str">
        <f>'STM-card (2)'!H20</f>
        <v>Rollover_3</v>
      </c>
      <c r="M20" s="46">
        <f>'STM-card (3)'!D20</f>
        <v>0</v>
      </c>
      <c r="N20" s="5" t="str">
        <f>'STM-card (3)'!E20</f>
        <v>B11</v>
      </c>
      <c r="O20" s="6"/>
      <c r="P20" s="6" t="str">
        <f>'STM-card (3)'!G20</f>
        <v>A8</v>
      </c>
      <c r="Q20" s="45">
        <f>'STM-card (3)'!H20</f>
        <v>0</v>
      </c>
    </row>
    <row r="21" spans="1:17" x14ac:dyDescent="0.3">
      <c r="A21" s="12" t="str">
        <f>'STM-card (1)'!D21</f>
        <v>WING 3 - INPUT</v>
      </c>
      <c r="B21" s="5" t="str">
        <f>'STM-card (1)'!E21</f>
        <v>R</v>
      </c>
      <c r="C21" s="6"/>
      <c r="D21" s="6" t="str">
        <f>'STM-card (1)'!G21</f>
        <v>B15</v>
      </c>
      <c r="E21" s="45" t="str">
        <f>'STM-card (1)'!H21</f>
        <v>NEOPIXEL</v>
      </c>
      <c r="G21" s="12" t="str">
        <f>'STM-card (2)'!D21</f>
        <v>WING 3 - INCANDESCENT</v>
      </c>
      <c r="H21" s="5" t="str">
        <f>'STM-card (2)'!E21</f>
        <v>R</v>
      </c>
      <c r="I21" s="6"/>
      <c r="J21" s="6" t="str">
        <f>'STM-card (2)'!G21</f>
        <v>B15</v>
      </c>
      <c r="K21" s="45" t="str">
        <f>'STM-card (2)'!H21</f>
        <v>neopixel</v>
      </c>
      <c r="M21" s="12" t="str">
        <f>'STM-card (3)'!D21</f>
        <v>WING 3 - INPUT</v>
      </c>
      <c r="N21" s="5" t="str">
        <f>'STM-card (3)'!E21</f>
        <v>R</v>
      </c>
      <c r="O21" s="6"/>
      <c r="P21" s="6" t="str">
        <f>'STM-card (3)'!G21</f>
        <v>B15</v>
      </c>
      <c r="Q21" s="45">
        <f>'STM-card (3)'!H21</f>
        <v>0</v>
      </c>
    </row>
    <row r="22" spans="1:17" x14ac:dyDescent="0.3">
      <c r="A22" s="1"/>
      <c r="B22" s="5" t="str">
        <f>'STM-card (1)'!E22</f>
        <v>3.3</v>
      </c>
      <c r="C22" s="6"/>
      <c r="D22" s="6" t="str">
        <f>'STM-card (1)'!G22</f>
        <v>B14</v>
      </c>
      <c r="E22" s="45" t="str">
        <f>'STM-card (1)'!H22</f>
        <v>Target_K</v>
      </c>
      <c r="G22" s="1"/>
      <c r="H22" s="5" t="str">
        <f>'STM-card (2)'!E22</f>
        <v>3.3</v>
      </c>
      <c r="I22" s="6"/>
      <c r="J22" s="6" t="str">
        <f>'STM-card (2)'!G22</f>
        <v>B14</v>
      </c>
      <c r="K22" s="45" t="str">
        <f>'STM-card (2)'!H22</f>
        <v>Rollover_4</v>
      </c>
      <c r="M22" s="1"/>
      <c r="N22" s="5" t="str">
        <f>'STM-card (3)'!E22</f>
        <v>3.3</v>
      </c>
      <c r="O22" s="6"/>
      <c r="P22" s="6" t="str">
        <f>'STM-card (3)'!G22</f>
        <v>B14</v>
      </c>
      <c r="Q22" s="45">
        <f>'STM-card (3)'!H22</f>
        <v>0</v>
      </c>
    </row>
    <row r="23" spans="1:17" x14ac:dyDescent="0.3">
      <c r="A23" s="1"/>
      <c r="B23" s="5" t="str">
        <f>'STM-card (1)'!E23</f>
        <v>G</v>
      </c>
      <c r="C23" s="6"/>
      <c r="D23" s="6" t="str">
        <f>'STM-card (1)'!G23</f>
        <v>B13</v>
      </c>
      <c r="E23" s="45" t="str">
        <f>'STM-card (1)'!H23</f>
        <v>Target_Q</v>
      </c>
      <c r="G23" s="1"/>
      <c r="H23" s="5" t="str">
        <f>'STM-card (2)'!E23</f>
        <v>G</v>
      </c>
      <c r="I23" s="6"/>
      <c r="J23" s="6" t="str">
        <f>'STM-card (2)'!G23</f>
        <v>B13</v>
      </c>
      <c r="K23" s="45" t="str">
        <f>'STM-card (2)'!H23</f>
        <v>Rollover_5</v>
      </c>
      <c r="M23" s="1"/>
      <c r="N23" s="5" t="str">
        <f>'STM-card (3)'!E23</f>
        <v>G</v>
      </c>
      <c r="O23" s="6"/>
      <c r="P23" s="6" t="str">
        <f>'STM-card (3)'!G23</f>
        <v>B13</v>
      </c>
      <c r="Q23" s="45">
        <f>'STM-card (3)'!H23</f>
        <v>0</v>
      </c>
    </row>
    <row r="24" spans="1:17" ht="15" thickBot="1" x14ac:dyDescent="0.35">
      <c r="A24" s="1"/>
      <c r="B24" s="8" t="str">
        <f>'STM-card (1)'!E24</f>
        <v>G</v>
      </c>
      <c r="C24" s="9"/>
      <c r="D24" s="9" t="str">
        <f>'STM-card (1)'!G24</f>
        <v>B12</v>
      </c>
      <c r="E24" s="45" t="str">
        <f>'STM-card (1)'!H24</f>
        <v>Target_J</v>
      </c>
      <c r="G24" s="1"/>
      <c r="H24" s="8" t="str">
        <f>'STM-card (2)'!E24</f>
        <v>G</v>
      </c>
      <c r="I24" s="9"/>
      <c r="J24" s="9" t="str">
        <f>'STM-card (2)'!G24</f>
        <v>B12</v>
      </c>
      <c r="K24" s="45" t="str">
        <f>'STM-card (2)'!H24</f>
        <v>Rollover_6</v>
      </c>
      <c r="M24" s="1"/>
      <c r="N24" s="8" t="str">
        <f>'STM-card (3)'!E24</f>
        <v>G</v>
      </c>
      <c r="O24" s="9"/>
      <c r="P24" s="9" t="str">
        <f>'STM-card (3)'!G24</f>
        <v>B12</v>
      </c>
      <c r="Q24" s="45">
        <f>'STM-card (3)'!H24</f>
        <v>0</v>
      </c>
    </row>
    <row r="25" spans="1:17" ht="15" thickBot="1" x14ac:dyDescent="0.35">
      <c r="A25" s="1"/>
      <c r="B25" s="1"/>
      <c r="C25" s="1"/>
      <c r="D25" s="10" t="str">
        <f>'STM-card (1)'!G25</f>
        <v>SWIO</v>
      </c>
      <c r="E25" s="46">
        <f>'STM-card (1)'!H25</f>
        <v>0</v>
      </c>
      <c r="G25" s="1"/>
      <c r="H25" s="1"/>
      <c r="I25" s="1"/>
      <c r="J25" s="10" t="str">
        <f>'STM-card (2)'!G25</f>
        <v>SWIO</v>
      </c>
      <c r="K25" s="46">
        <f>'STM-card (2)'!H25</f>
        <v>0</v>
      </c>
      <c r="M25" s="1"/>
      <c r="N25" s="1"/>
      <c r="O25" s="1"/>
      <c r="P25" s="10" t="str">
        <f>'STM-card (3)'!G25</f>
        <v>SWIO</v>
      </c>
      <c r="Q25" s="46">
        <f>'STM-card (3)'!H25</f>
        <v>0</v>
      </c>
    </row>
    <row r="26" spans="1:17" ht="15" thickBot="1" x14ac:dyDescent="0.35"/>
    <row r="27" spans="1:17" ht="15" thickBot="1" x14ac:dyDescent="0.35">
      <c r="A27" s="17" t="str">
        <f>'STM-card (4)'!D2</f>
        <v>STM32 CARD NUMBER :</v>
      </c>
      <c r="B27" s="40">
        <f>'STM-card (4)'!E2</f>
        <v>4</v>
      </c>
      <c r="G27" s="17" t="str">
        <f>'STM-card (5)'!D2</f>
        <v>STM32 CARD NUMBER :</v>
      </c>
      <c r="H27" s="40">
        <f>'STM-card (5)'!E2</f>
        <v>5</v>
      </c>
      <c r="I27">
        <f>'STM-card (5)'!F2</f>
        <v>0</v>
      </c>
      <c r="M27" s="17" t="str">
        <f>'STM-card (6)'!D2</f>
        <v>STM32 CARD NUMBER :</v>
      </c>
      <c r="N27" s="40">
        <f>'STM-card (6)'!E2</f>
        <v>6</v>
      </c>
    </row>
    <row r="28" spans="1:17" x14ac:dyDescent="0.3">
      <c r="I28">
        <f>'STM-card (5)'!F3</f>
        <v>0</v>
      </c>
    </row>
    <row r="29" spans="1:17" ht="15" thickBot="1" x14ac:dyDescent="0.35">
      <c r="A29" s="11" t="str">
        <f>'STM-card (4)'!D4</f>
        <v>WING 2 - SOLENOID</v>
      </c>
      <c r="G29" s="11" t="str">
        <f>'STM-card (5)'!D4</f>
        <v>WING 2 - INPUT</v>
      </c>
      <c r="M29" s="11" t="str">
        <f>'STM-card (6)'!D4</f>
        <v>WING 2 - INCANDESCENT</v>
      </c>
    </row>
    <row r="30" spans="1:17" x14ac:dyDescent="0.3">
      <c r="A30" s="37" t="str">
        <f>'STM-card (4)'!D5</f>
        <v>score_1p_10</v>
      </c>
      <c r="B30" s="2" t="str">
        <f>'STM-card (4)'!E5</f>
        <v>VB/SWCLK</v>
      </c>
      <c r="C30" s="3"/>
      <c r="D30" s="4" t="str">
        <f>'STM-card (4)'!G5</f>
        <v>3.3</v>
      </c>
      <c r="E30" s="1"/>
      <c r="G30" s="44">
        <f>'STM-card (5)'!D5</f>
        <v>0</v>
      </c>
      <c r="H30" s="2" t="str">
        <f>'STM-card (5)'!E5</f>
        <v>VB/SWCLK</v>
      </c>
      <c r="I30" s="3"/>
      <c r="J30" s="4" t="str">
        <f>'STM-card (5)'!G5</f>
        <v>3.3</v>
      </c>
      <c r="K30" s="1"/>
      <c r="M30" s="44" t="str">
        <f>'STM-card (6)'!D5</f>
        <v>EB_Lane</v>
      </c>
      <c r="N30" s="2" t="str">
        <f>'STM-card (6)'!E5</f>
        <v>VB/SWCLK</v>
      </c>
      <c r="O30" s="3"/>
      <c r="P30" s="4" t="str">
        <f>'STM-card (6)'!G5</f>
        <v>3.3</v>
      </c>
      <c r="Q30" s="1"/>
    </row>
    <row r="31" spans="1:17" x14ac:dyDescent="0.3">
      <c r="A31" s="38" t="str">
        <f>'STM-card (4)'!D6</f>
        <v>score_1p_100</v>
      </c>
      <c r="B31" s="5" t="str">
        <f>'STM-card (4)'!E6</f>
        <v>C13</v>
      </c>
      <c r="C31" s="6"/>
      <c r="D31" s="7" t="str">
        <f>'STM-card (4)'!G6</f>
        <v>G</v>
      </c>
      <c r="E31" s="1"/>
      <c r="G31" s="45">
        <f>'STM-card (5)'!D6</f>
        <v>0</v>
      </c>
      <c r="H31" s="5" t="str">
        <f>'STM-card (5)'!E6</f>
        <v>C13</v>
      </c>
      <c r="I31" s="6"/>
      <c r="J31" s="7" t="str">
        <f>'STM-card (5)'!G6</f>
        <v>G</v>
      </c>
      <c r="K31" s="1"/>
      <c r="M31" s="45" t="str">
        <f>'STM-card (6)'!D6</f>
        <v>Lane_Top_Right</v>
      </c>
      <c r="N31" s="5" t="str">
        <f>'STM-card (6)'!E6</f>
        <v>C13</v>
      </c>
      <c r="O31" s="6"/>
      <c r="P31" s="7" t="str">
        <f>'STM-card (6)'!G6</f>
        <v>G</v>
      </c>
      <c r="Q31" s="1"/>
    </row>
    <row r="32" spans="1:17" ht="15" thickBot="1" x14ac:dyDescent="0.35">
      <c r="A32" s="38" t="str">
        <f>'STM-card (4)'!D7</f>
        <v>score_1p_1k</v>
      </c>
      <c r="B32" s="5" t="str">
        <f>'STM-card (4)'!E7</f>
        <v>C14</v>
      </c>
      <c r="C32" s="6"/>
      <c r="D32" s="7" t="str">
        <f>'STM-card (4)'!G7</f>
        <v>5V</v>
      </c>
      <c r="E32" s="12" t="str">
        <f>'STM-card (4)'!H7</f>
        <v>WING 1 - INPUT</v>
      </c>
      <c r="G32" s="45">
        <f>'STM-card (5)'!D7</f>
        <v>0</v>
      </c>
      <c r="H32" s="5" t="str">
        <f>'STM-card (5)'!E7</f>
        <v>C14</v>
      </c>
      <c r="I32" s="6"/>
      <c r="J32" s="7" t="str">
        <f>'STM-card (5)'!G7</f>
        <v>5V</v>
      </c>
      <c r="K32" s="12" t="str">
        <f>'STM-card (5)'!H7</f>
        <v>WING 1 - solenoid</v>
      </c>
      <c r="M32" s="45" t="str">
        <f>'STM-card (6)'!D7</f>
        <v>Rollover_8</v>
      </c>
      <c r="N32" s="5" t="str">
        <f>'STM-card (6)'!E7</f>
        <v>C14</v>
      </c>
      <c r="O32" s="6"/>
      <c r="P32" s="7" t="str">
        <f>'STM-card (6)'!G7</f>
        <v>5V</v>
      </c>
      <c r="Q32" s="12" t="str">
        <f>'STM-card (6)'!H7</f>
        <v>WING 1 - INCANDESCENT</v>
      </c>
    </row>
    <row r="33" spans="1:17" x14ac:dyDescent="0.3">
      <c r="A33" s="38" t="str">
        <f>'STM-card (4)'!D8</f>
        <v>score_1p_10k</v>
      </c>
      <c r="B33" s="5" t="str">
        <f>'STM-card (4)'!E8</f>
        <v>C15</v>
      </c>
      <c r="C33" s="6"/>
      <c r="D33" s="7" t="str">
        <f>'STM-card (4)'!G8</f>
        <v>B9</v>
      </c>
      <c r="E33" s="37">
        <f>'STM-card (4)'!H8</f>
        <v>0</v>
      </c>
      <c r="G33" s="45">
        <f>'STM-card (5)'!D8</f>
        <v>0</v>
      </c>
      <c r="H33" s="5" t="str">
        <f>'STM-card (5)'!E8</f>
        <v>C15</v>
      </c>
      <c r="I33" s="6"/>
      <c r="J33" s="7" t="str">
        <f>'STM-card (5)'!G8</f>
        <v>B9</v>
      </c>
      <c r="K33" s="44">
        <f>'STM-card (5)'!H8</f>
        <v>0</v>
      </c>
      <c r="M33" s="45" t="str">
        <f>'STM-card (6)'!D8</f>
        <v>Slinghshot_Right</v>
      </c>
      <c r="N33" s="5" t="str">
        <f>'STM-card (6)'!E8</f>
        <v>C15</v>
      </c>
      <c r="O33" s="6"/>
      <c r="P33" s="7" t="str">
        <f>'STM-card (6)'!G8</f>
        <v>B9</v>
      </c>
      <c r="Q33" s="44" t="str">
        <f>'STM-card (6)'!H8</f>
        <v>Rollover_2</v>
      </c>
    </row>
    <row r="34" spans="1:17" x14ac:dyDescent="0.3">
      <c r="A34" s="38">
        <f>'STM-card (4)'!D9</f>
        <v>0</v>
      </c>
      <c r="B34" s="5" t="str">
        <f>'STM-card (4)'!E9</f>
        <v>A0</v>
      </c>
      <c r="C34" s="6"/>
      <c r="D34" s="7" t="str">
        <f>'STM-card (4)'!G9</f>
        <v>B8</v>
      </c>
      <c r="E34" s="38">
        <f>'STM-card (4)'!H9</f>
        <v>0</v>
      </c>
      <c r="G34" s="45">
        <f>'STM-card (5)'!D9</f>
        <v>0</v>
      </c>
      <c r="H34" s="5" t="str">
        <f>'STM-card (5)'!E9</f>
        <v>A0</v>
      </c>
      <c r="I34" s="6"/>
      <c r="J34" s="7" t="str">
        <f>'STM-card (5)'!G9</f>
        <v>B8</v>
      </c>
      <c r="K34" s="45">
        <f>'STM-card (5)'!H9</f>
        <v>0</v>
      </c>
      <c r="M34" s="45" t="str">
        <f>'STM-card (6)'!D9</f>
        <v>SPECIAL_Lane_2</v>
      </c>
      <c r="N34" s="5" t="str">
        <f>'STM-card (6)'!E9</f>
        <v>A0</v>
      </c>
      <c r="O34" s="6"/>
      <c r="P34" s="7" t="str">
        <f>'STM-card (6)'!G9</f>
        <v>B8</v>
      </c>
      <c r="Q34" s="45" t="str">
        <f>'STM-card (6)'!H9</f>
        <v>Left_Bumper</v>
      </c>
    </row>
    <row r="35" spans="1:17" x14ac:dyDescent="0.3">
      <c r="A35" s="38">
        <f>'STM-card (4)'!D10</f>
        <v>0</v>
      </c>
      <c r="B35" s="5" t="str">
        <f>'STM-card (4)'!E10</f>
        <v>A1</v>
      </c>
      <c r="C35" s="6"/>
      <c r="D35" s="7" t="str">
        <f>'STM-card (4)'!G10</f>
        <v>B7</v>
      </c>
      <c r="E35" s="38">
        <f>'STM-card (4)'!H10</f>
        <v>0</v>
      </c>
      <c r="G35" s="45">
        <f>'STM-card (5)'!D10</f>
        <v>0</v>
      </c>
      <c r="H35" s="5" t="str">
        <f>'STM-card (5)'!E10</f>
        <v>A1</v>
      </c>
      <c r="I35" s="6"/>
      <c r="J35" s="7" t="str">
        <f>'STM-card (5)'!G10</f>
        <v>B7</v>
      </c>
      <c r="K35" s="45">
        <f>'STM-card (5)'!H10</f>
        <v>0</v>
      </c>
      <c r="M35" s="45" t="str">
        <f>'STM-card (6)'!D10</f>
        <v>EB</v>
      </c>
      <c r="N35" s="5" t="str">
        <f>'STM-card (6)'!E10</f>
        <v>A1</v>
      </c>
      <c r="O35" s="6"/>
      <c r="P35" s="7" t="str">
        <f>'STM-card (6)'!G10</f>
        <v>B7</v>
      </c>
      <c r="Q35" s="45" t="str">
        <f>'STM-card (6)'!H10</f>
        <v>Top_Bumper</v>
      </c>
    </row>
    <row r="36" spans="1:17" x14ac:dyDescent="0.3">
      <c r="A36" s="38">
        <f>'STM-card (4)'!D11</f>
        <v>0</v>
      </c>
      <c r="B36" s="5" t="str">
        <f>'STM-card (4)'!E11</f>
        <v>A2</v>
      </c>
      <c r="C36" s="6"/>
      <c r="D36" s="7" t="str">
        <f>'STM-card (4)'!G11</f>
        <v>B6</v>
      </c>
      <c r="E36" s="38">
        <f>'STM-card (4)'!H11</f>
        <v>0</v>
      </c>
      <c r="G36" s="45">
        <f>'STM-card (5)'!D11</f>
        <v>0</v>
      </c>
      <c r="H36" s="5" t="str">
        <f>'STM-card (5)'!E11</f>
        <v>A2</v>
      </c>
      <c r="I36" s="6"/>
      <c r="J36" s="7" t="str">
        <f>'STM-card (5)'!G11</f>
        <v>B6</v>
      </c>
      <c r="K36" s="45">
        <f>'STM-card (5)'!H11</f>
        <v>0</v>
      </c>
      <c r="M36" s="45" t="str">
        <f>'STM-card (6)'!D11</f>
        <v>Rollover_6</v>
      </c>
      <c r="N36" s="5" t="str">
        <f>'STM-card (6)'!E11</f>
        <v>A2</v>
      </c>
      <c r="O36" s="6"/>
      <c r="P36" s="7" t="str">
        <f>'STM-card (6)'!G11</f>
        <v>B6</v>
      </c>
      <c r="Q36" s="45" t="str">
        <f>'STM-card (6)'!H11</f>
        <v>Double_Bonus</v>
      </c>
    </row>
    <row r="37" spans="1:17" ht="15" thickBot="1" x14ac:dyDescent="0.35">
      <c r="A37" s="39">
        <f>'STM-card (4)'!D12</f>
        <v>0</v>
      </c>
      <c r="B37" s="5" t="str">
        <f>'STM-card (4)'!E12</f>
        <v>A3</v>
      </c>
      <c r="C37" s="6"/>
      <c r="D37" s="7" t="str">
        <f>'STM-card (4)'!G12</f>
        <v>B5</v>
      </c>
      <c r="E37" s="38">
        <f>'STM-card (4)'!H12</f>
        <v>0</v>
      </c>
      <c r="G37" s="46">
        <f>'STM-card (5)'!D12</f>
        <v>0</v>
      </c>
      <c r="H37" s="5" t="str">
        <f>'STM-card (5)'!E12</f>
        <v>A3</v>
      </c>
      <c r="I37" s="6"/>
      <c r="J37" s="7" t="str">
        <f>'STM-card (5)'!G12</f>
        <v>B5</v>
      </c>
      <c r="K37" s="45" t="str">
        <f>'STM-card (5)'!H12</f>
        <v>score_2p_10k</v>
      </c>
      <c r="M37" s="46" t="str">
        <f>'STM-card (6)'!D12</f>
        <v>Rollover_9</v>
      </c>
      <c r="N37" s="5" t="str">
        <f>'STM-card (6)'!E12</f>
        <v>A3</v>
      </c>
      <c r="O37" s="6"/>
      <c r="P37" s="7" t="str">
        <f>'STM-card (6)'!G12</f>
        <v>B5</v>
      </c>
      <c r="Q37" s="45">
        <f>'STM-card (6)'!H12</f>
        <v>0</v>
      </c>
    </row>
    <row r="38" spans="1:17" x14ac:dyDescent="0.3">
      <c r="A38" s="37" t="str">
        <f>'STM-card (4)'!D13</f>
        <v>score_3p_10</v>
      </c>
      <c r="B38" s="5" t="str">
        <f>'STM-card (4)'!E13</f>
        <v>A4</v>
      </c>
      <c r="C38" s="6"/>
      <c r="D38" s="7" t="str">
        <f>'STM-card (4)'!G13</f>
        <v>B4</v>
      </c>
      <c r="E38" s="38">
        <f>'STM-card (4)'!H13</f>
        <v>0</v>
      </c>
      <c r="G38" s="44" t="str">
        <f>'STM-card (5)'!D13</f>
        <v>score_4p_10</v>
      </c>
      <c r="H38" s="5" t="str">
        <f>'STM-card (5)'!E13</f>
        <v>A4</v>
      </c>
      <c r="I38" s="6"/>
      <c r="J38" s="7" t="str">
        <f>'STM-card (5)'!G13</f>
        <v>B4</v>
      </c>
      <c r="K38" s="45" t="str">
        <f>'STM-card (5)'!H13</f>
        <v>score_2p_1k</v>
      </c>
      <c r="M38" s="44" t="str">
        <f>'STM-card (6)'!D13</f>
        <v>Rollover_3</v>
      </c>
      <c r="N38" s="5" t="str">
        <f>'STM-card (6)'!E13</f>
        <v>A4</v>
      </c>
      <c r="O38" s="6"/>
      <c r="P38" s="7" t="str">
        <f>'STM-card (6)'!G13</f>
        <v>B4</v>
      </c>
      <c r="Q38" s="45" t="str">
        <f>'STM-card (6)'!H13</f>
        <v>Triple_Bonus</v>
      </c>
    </row>
    <row r="39" spans="1:17" x14ac:dyDescent="0.3">
      <c r="A39" s="38" t="str">
        <f>'STM-card (4)'!D14</f>
        <v>score_3p_100</v>
      </c>
      <c r="B39" s="5" t="str">
        <f>'STM-card (4)'!E14</f>
        <v>A5</v>
      </c>
      <c r="C39" s="6"/>
      <c r="D39" s="7" t="str">
        <f>'STM-card (4)'!G14</f>
        <v>B3</v>
      </c>
      <c r="E39" s="38">
        <f>'STM-card (4)'!H14</f>
        <v>0</v>
      </c>
      <c r="G39" s="45" t="str">
        <f>'STM-card (5)'!D14</f>
        <v>score_4p_100</v>
      </c>
      <c r="H39" s="5" t="str">
        <f>'STM-card (5)'!E14</f>
        <v>A5</v>
      </c>
      <c r="I39" s="6"/>
      <c r="J39" s="7" t="str">
        <f>'STM-card (5)'!G14</f>
        <v>B3</v>
      </c>
      <c r="K39" s="45" t="str">
        <f>'STM-card (5)'!H14</f>
        <v>score_2p_100</v>
      </c>
      <c r="M39" s="45" t="str">
        <f>'STM-card (6)'!D14</f>
        <v>Rollover_1000</v>
      </c>
      <c r="N39" s="5" t="str">
        <f>'STM-card (6)'!E14</f>
        <v>A5</v>
      </c>
      <c r="O39" s="6"/>
      <c r="P39" s="7" t="str">
        <f>'STM-card (6)'!G14</f>
        <v>B3</v>
      </c>
      <c r="Q39" s="45">
        <f>'STM-card (6)'!H14</f>
        <v>0</v>
      </c>
    </row>
    <row r="40" spans="1:17" ht="15" thickBot="1" x14ac:dyDescent="0.35">
      <c r="A40" s="38" t="str">
        <f>'STM-card (4)'!D15</f>
        <v>score_3p_1k</v>
      </c>
      <c r="B40" s="5" t="str">
        <f>'STM-card (4)'!E15</f>
        <v>A6</v>
      </c>
      <c r="C40" s="6"/>
      <c r="D40" s="7" t="str">
        <f>'STM-card (4)'!G15</f>
        <v>A15</v>
      </c>
      <c r="E40" s="39">
        <f>'STM-card (4)'!H15</f>
        <v>0</v>
      </c>
      <c r="G40" s="45" t="str">
        <f>'STM-card (5)'!D15</f>
        <v>score_4p_1k</v>
      </c>
      <c r="H40" s="5" t="str">
        <f>'STM-card (5)'!E15</f>
        <v>A6</v>
      </c>
      <c r="I40" s="6"/>
      <c r="J40" s="7" t="str">
        <f>'STM-card (5)'!G15</f>
        <v>A15</v>
      </c>
      <c r="K40" s="46" t="str">
        <f>'STM-card (5)'!H15</f>
        <v>score_2p_10</v>
      </c>
      <c r="M40" s="45" t="str">
        <f>'STM-card (6)'!D15</f>
        <v>Rollover_5</v>
      </c>
      <c r="N40" s="5" t="str">
        <f>'STM-card (6)'!E15</f>
        <v>A6</v>
      </c>
      <c r="O40" s="6"/>
      <c r="P40" s="7" t="str">
        <f>'STM-card (6)'!G15</f>
        <v>A15</v>
      </c>
      <c r="Q40" s="46" t="str">
        <f>'STM-card (6)'!H15</f>
        <v>Right_Bumper</v>
      </c>
    </row>
    <row r="41" spans="1:17" x14ac:dyDescent="0.3">
      <c r="A41" s="38" t="str">
        <f>'STM-card (4)'!D16</f>
        <v>score_3p_10k</v>
      </c>
      <c r="B41" s="5" t="str">
        <f>'STM-card (4)'!E16</f>
        <v>A7</v>
      </c>
      <c r="C41" s="6"/>
      <c r="D41" s="13" t="str">
        <f>'STM-card (4)'!G16</f>
        <v>A12</v>
      </c>
      <c r="E41" s="1"/>
      <c r="G41" s="45" t="str">
        <f>'STM-card (5)'!D16</f>
        <v>score_4p_10k</v>
      </c>
      <c r="H41" s="5" t="str">
        <f>'STM-card (5)'!E16</f>
        <v>A7</v>
      </c>
      <c r="I41" s="6"/>
      <c r="J41" s="13" t="str">
        <f>'STM-card (5)'!G16</f>
        <v>A12</v>
      </c>
      <c r="K41" s="1"/>
      <c r="M41" s="45" t="str">
        <f>'STM-card (6)'!D16</f>
        <v>SPECIAL</v>
      </c>
      <c r="N41" s="5" t="str">
        <f>'STM-card (6)'!E16</f>
        <v>A7</v>
      </c>
      <c r="O41" s="6"/>
      <c r="P41" s="13" t="str">
        <f>'STM-card (6)'!G16</f>
        <v>A12</v>
      </c>
      <c r="Q41" s="1"/>
    </row>
    <row r="42" spans="1:17" ht="15" thickBot="1" x14ac:dyDescent="0.35">
      <c r="A42" s="38">
        <f>'STM-card (4)'!D17</f>
        <v>0</v>
      </c>
      <c r="B42" s="5" t="str">
        <f>'STM-card (4)'!E17</f>
        <v>B0</v>
      </c>
      <c r="C42" s="6"/>
      <c r="D42" s="13" t="str">
        <f>'STM-card (4)'!G17</f>
        <v>A11</v>
      </c>
      <c r="E42" s="12" t="str">
        <f>'STM-card (4)'!H17</f>
        <v>WING 0 - INPUT</v>
      </c>
      <c r="G42" s="45">
        <f>'STM-card (5)'!D17</f>
        <v>0</v>
      </c>
      <c r="H42" s="5" t="str">
        <f>'STM-card (5)'!E17</f>
        <v>B0</v>
      </c>
      <c r="I42" s="6"/>
      <c r="J42" s="13" t="str">
        <f>'STM-card (5)'!G17</f>
        <v>A11</v>
      </c>
      <c r="K42" s="12" t="str">
        <f>'STM-card (5)'!H17</f>
        <v>WING 0 - INPUT</v>
      </c>
      <c r="M42" s="45" t="str">
        <f>'STM-card (6)'!D17</f>
        <v>Target_10</v>
      </c>
      <c r="N42" s="5" t="str">
        <f>'STM-card (6)'!E17</f>
        <v>B0</v>
      </c>
      <c r="O42" s="6"/>
      <c r="P42" s="13" t="str">
        <f>'STM-card (6)'!G17</f>
        <v>A11</v>
      </c>
      <c r="Q42" s="12" t="str">
        <f>'STM-card (6)'!H17</f>
        <v>WING 0 - NEOPIXEL</v>
      </c>
    </row>
    <row r="43" spans="1:17" x14ac:dyDescent="0.3">
      <c r="A43" s="38">
        <f>'STM-card (4)'!D18</f>
        <v>0</v>
      </c>
      <c r="B43" s="5" t="str">
        <f>'STM-card (4)'!E18</f>
        <v>B1</v>
      </c>
      <c r="C43" s="6"/>
      <c r="D43" s="6" t="str">
        <f>'STM-card (4)'!G18</f>
        <v>A10</v>
      </c>
      <c r="E43" s="37">
        <f>'STM-card (4)'!H18</f>
        <v>0</v>
      </c>
      <c r="G43" s="45">
        <f>'STM-card (5)'!D18</f>
        <v>0</v>
      </c>
      <c r="H43" s="5" t="str">
        <f>'STM-card (5)'!E18</f>
        <v>B1</v>
      </c>
      <c r="I43" s="6"/>
      <c r="J43" s="6" t="str">
        <f>'STM-card (5)'!G18</f>
        <v>A10</v>
      </c>
      <c r="K43" s="44">
        <f>'STM-card (5)'!H18</f>
        <v>0</v>
      </c>
      <c r="M43" s="45" t="str">
        <f>'STM-card (6)'!D18</f>
        <v>Rollover_1</v>
      </c>
      <c r="N43" s="5" t="str">
        <f>'STM-card (6)'!E18</f>
        <v>B1</v>
      </c>
      <c r="O43" s="6"/>
      <c r="P43" s="6" t="str">
        <f>'STM-card (6)'!G18</f>
        <v>A10</v>
      </c>
      <c r="Q43" s="44">
        <f>'STM-card (6)'!H18</f>
        <v>0</v>
      </c>
    </row>
    <row r="44" spans="1:17" x14ac:dyDescent="0.3">
      <c r="A44" s="38">
        <f>'STM-card (4)'!D19</f>
        <v>0</v>
      </c>
      <c r="B44" s="5" t="str">
        <f>'STM-card (4)'!E19</f>
        <v>B10</v>
      </c>
      <c r="C44" s="6"/>
      <c r="D44" s="6" t="str">
        <f>'STM-card (4)'!G19</f>
        <v>A9</v>
      </c>
      <c r="E44" s="38">
        <f>'STM-card (4)'!H19</f>
        <v>0</v>
      </c>
      <c r="G44" s="45">
        <f>'STM-card (5)'!D19</f>
        <v>0</v>
      </c>
      <c r="H44" s="5" t="str">
        <f>'STM-card (5)'!E19</f>
        <v>B10</v>
      </c>
      <c r="I44" s="6"/>
      <c r="J44" s="6" t="str">
        <f>'STM-card (5)'!G19</f>
        <v>A9</v>
      </c>
      <c r="K44" s="45">
        <f>'STM-card (5)'!H19</f>
        <v>0</v>
      </c>
      <c r="M44" s="45" t="str">
        <f>'STM-card (6)'!D19</f>
        <v>Rollover_7</v>
      </c>
      <c r="N44" s="5" t="str">
        <f>'STM-card (6)'!E19</f>
        <v>B10</v>
      </c>
      <c r="O44" s="6"/>
      <c r="P44" s="6" t="str">
        <f>'STM-card (6)'!G19</f>
        <v>A9</v>
      </c>
      <c r="Q44" s="45">
        <f>'STM-card (6)'!H19</f>
        <v>0</v>
      </c>
    </row>
    <row r="45" spans="1:17" ht="15" thickBot="1" x14ac:dyDescent="0.35">
      <c r="A45" s="39">
        <f>'STM-card (4)'!D20</f>
        <v>0</v>
      </c>
      <c r="B45" s="5" t="str">
        <f>'STM-card (4)'!E20</f>
        <v>B11</v>
      </c>
      <c r="C45" s="6"/>
      <c r="D45" s="6" t="str">
        <f>'STM-card (4)'!G20</f>
        <v>A8</v>
      </c>
      <c r="E45" s="38">
        <f>'STM-card (4)'!H20</f>
        <v>0</v>
      </c>
      <c r="G45" s="46">
        <f>'STM-card (5)'!D20</f>
        <v>0</v>
      </c>
      <c r="H45" s="5" t="str">
        <f>'STM-card (5)'!E20</f>
        <v>B11</v>
      </c>
      <c r="I45" s="6"/>
      <c r="J45" s="6" t="str">
        <f>'STM-card (5)'!G20</f>
        <v>A8</v>
      </c>
      <c r="K45" s="45">
        <f>'STM-card (5)'!H20</f>
        <v>0</v>
      </c>
      <c r="M45" s="46" t="str">
        <f>'STM-card (6)'!D20</f>
        <v>Rollover_4</v>
      </c>
      <c r="N45" s="5" t="str">
        <f>'STM-card (6)'!E20</f>
        <v>B11</v>
      </c>
      <c r="O45" s="6"/>
      <c r="P45" s="6" t="str">
        <f>'STM-card (6)'!G20</f>
        <v>A8</v>
      </c>
      <c r="Q45" s="45">
        <f>'STM-card (6)'!H20</f>
        <v>0</v>
      </c>
    </row>
    <row r="46" spans="1:17" x14ac:dyDescent="0.3">
      <c r="A46" s="12" t="str">
        <f>'STM-card (4)'!D21</f>
        <v>WING 3 - SOLENOID</v>
      </c>
      <c r="B46" s="5" t="str">
        <f>'STM-card (4)'!E21</f>
        <v>R</v>
      </c>
      <c r="C46" s="6"/>
      <c r="D46" s="6" t="str">
        <f>'STM-card (4)'!G21</f>
        <v>B15</v>
      </c>
      <c r="E46" s="38">
        <f>'STM-card (4)'!H21</f>
        <v>0</v>
      </c>
      <c r="G46" s="12" t="str">
        <f>'STM-card (5)'!D21</f>
        <v>WING 3 - solenoid</v>
      </c>
      <c r="H46" s="5" t="str">
        <f>'STM-card (5)'!E21</f>
        <v>R</v>
      </c>
      <c r="I46" s="6"/>
      <c r="J46" s="6" t="str">
        <f>'STM-card (5)'!G21</f>
        <v>B15</v>
      </c>
      <c r="K46" s="45">
        <f>'STM-card (5)'!H21</f>
        <v>0</v>
      </c>
      <c r="M46" s="12" t="str">
        <f>'STM-card (6)'!D21</f>
        <v>WING 3 - INCANDESCENT</v>
      </c>
      <c r="N46" s="5" t="str">
        <f>'STM-card (6)'!E21</f>
        <v>R</v>
      </c>
      <c r="O46" s="6"/>
      <c r="P46" s="6" t="str">
        <f>'STM-card (6)'!G21</f>
        <v>B15</v>
      </c>
      <c r="Q46" s="45" t="str">
        <f>'STM-card (6)'!H21</f>
        <v>NEOPIXEL</v>
      </c>
    </row>
    <row r="47" spans="1:17" x14ac:dyDescent="0.3">
      <c r="A47" s="1"/>
      <c r="B47" s="5" t="str">
        <f>'STM-card (4)'!E22</f>
        <v>3.3</v>
      </c>
      <c r="C47" s="6"/>
      <c r="D47" s="6" t="str">
        <f>'STM-card (4)'!G22</f>
        <v>B14</v>
      </c>
      <c r="E47" s="38">
        <f>'STM-card (4)'!H22</f>
        <v>0</v>
      </c>
      <c r="G47" s="1"/>
      <c r="H47" s="5" t="str">
        <f>'STM-card (5)'!E22</f>
        <v>3.3</v>
      </c>
      <c r="I47" s="6"/>
      <c r="J47" s="6" t="str">
        <f>'STM-card (5)'!G22</f>
        <v>B14</v>
      </c>
      <c r="K47" s="45">
        <f>'STM-card (5)'!H22</f>
        <v>0</v>
      </c>
      <c r="M47" s="1"/>
      <c r="N47" s="5" t="str">
        <f>'STM-card (6)'!E22</f>
        <v>3.3</v>
      </c>
      <c r="O47" s="6"/>
      <c r="P47" s="6" t="str">
        <f>'STM-card (6)'!G22</f>
        <v>B14</v>
      </c>
      <c r="Q47" s="45">
        <f>'STM-card (6)'!H22</f>
        <v>0</v>
      </c>
    </row>
    <row r="48" spans="1:17" x14ac:dyDescent="0.3">
      <c r="A48" s="1"/>
      <c r="B48" s="5" t="str">
        <f>'STM-card (4)'!E23</f>
        <v>G</v>
      </c>
      <c r="C48" s="6"/>
      <c r="D48" s="6" t="str">
        <f>'STM-card (4)'!G23</f>
        <v>B13</v>
      </c>
      <c r="E48" s="38">
        <f>'STM-card (4)'!H23</f>
        <v>0</v>
      </c>
      <c r="G48" s="1"/>
      <c r="H48" s="5" t="str">
        <f>'STM-card (5)'!E23</f>
        <v>G</v>
      </c>
      <c r="I48" s="6"/>
      <c r="J48" s="6" t="str">
        <f>'STM-card (5)'!G23</f>
        <v>B13</v>
      </c>
      <c r="K48" s="45">
        <f>'STM-card (5)'!H23</f>
        <v>0</v>
      </c>
      <c r="M48" s="1"/>
      <c r="N48" s="5" t="str">
        <f>'STM-card (6)'!E23</f>
        <v>G</v>
      </c>
      <c r="O48" s="6"/>
      <c r="P48" s="6" t="str">
        <f>'STM-card (6)'!G23</f>
        <v>B13</v>
      </c>
      <c r="Q48" s="45">
        <f>'STM-card (6)'!H23</f>
        <v>0</v>
      </c>
    </row>
    <row r="49" spans="1:17" ht="15" thickBot="1" x14ac:dyDescent="0.35">
      <c r="A49" s="1"/>
      <c r="B49" s="8" t="str">
        <f>'STM-card (4)'!E24</f>
        <v>G</v>
      </c>
      <c r="C49" s="9"/>
      <c r="D49" s="9" t="str">
        <f>'STM-card (4)'!G24</f>
        <v>B12</v>
      </c>
      <c r="E49" s="38">
        <f>'STM-card (4)'!H24</f>
        <v>0</v>
      </c>
      <c r="G49" s="1"/>
      <c r="H49" s="8" t="str">
        <f>'STM-card (5)'!E24</f>
        <v>G</v>
      </c>
      <c r="I49" s="9"/>
      <c r="J49" s="9" t="str">
        <f>'STM-card (5)'!G24</f>
        <v>B12</v>
      </c>
      <c r="K49" s="45">
        <f>'STM-card (5)'!H24</f>
        <v>0</v>
      </c>
      <c r="M49" s="1"/>
      <c r="N49" s="8" t="str">
        <f>'STM-card (6)'!E24</f>
        <v>G</v>
      </c>
      <c r="O49" s="9"/>
      <c r="P49" s="9" t="str">
        <f>'STM-card (6)'!G24</f>
        <v>B12</v>
      </c>
      <c r="Q49" s="45">
        <f>'STM-card (6)'!H24</f>
        <v>0</v>
      </c>
    </row>
    <row r="50" spans="1:17" ht="15" thickBot="1" x14ac:dyDescent="0.35">
      <c r="A50" s="1"/>
      <c r="B50" s="1"/>
      <c r="C50" s="1"/>
      <c r="D50" s="10" t="str">
        <f>'STM-card (4)'!G25</f>
        <v>SWIO</v>
      </c>
      <c r="E50" s="39">
        <f>'STM-card (4)'!H25</f>
        <v>0</v>
      </c>
      <c r="G50" s="1"/>
      <c r="H50" s="1"/>
      <c r="I50" s="1"/>
      <c r="J50" s="10" t="str">
        <f>'STM-card (5)'!G25</f>
        <v>SWIO</v>
      </c>
      <c r="K50" s="46">
        <f>'STM-card (5)'!H25</f>
        <v>0</v>
      </c>
      <c r="M50" s="1"/>
      <c r="N50" s="1"/>
      <c r="O50" s="1"/>
      <c r="P50" s="10" t="str">
        <f>'STM-card (6)'!G25</f>
        <v>SWIO</v>
      </c>
      <c r="Q50" s="46">
        <f>'STM-card (6)'!H25</f>
        <v>0</v>
      </c>
    </row>
    <row r="51" spans="1:17" ht="15" thickBot="1" x14ac:dyDescent="0.35"/>
    <row r="52" spans="1:17" ht="15" thickBot="1" x14ac:dyDescent="0.35">
      <c r="A52" s="17" t="str">
        <f>'STM-card (7)'!D2</f>
        <v>STM32 CARD NUMBER :</v>
      </c>
      <c r="B52" s="40">
        <f>'STM-card (7)'!E2</f>
        <v>7</v>
      </c>
      <c r="G52" s="17" t="str">
        <f>'STM-card (8)'!D2</f>
        <v>STM32 CARD NUMBER :</v>
      </c>
      <c r="H52" s="40">
        <f>'STM-card (8)'!E2</f>
        <v>8</v>
      </c>
    </row>
    <row r="54" spans="1:17" ht="15" thickBot="1" x14ac:dyDescent="0.35">
      <c r="A54" s="11" t="str">
        <f>'STM-card (7)'!D4</f>
        <v>WING 2 - INPUT</v>
      </c>
      <c r="G54" s="11" t="str">
        <f>'STM-card (8)'!D4</f>
        <v>WING 2 - INPUT</v>
      </c>
    </row>
    <row r="55" spans="1:17" x14ac:dyDescent="0.3">
      <c r="A55" s="44">
        <f>'STM-card (7)'!D5</f>
        <v>0</v>
      </c>
      <c r="B55" s="2" t="str">
        <f>'STM-card (7)'!E5</f>
        <v>VB/SWCLK</v>
      </c>
      <c r="C55" s="3"/>
      <c r="D55" s="4" t="str">
        <f>'STM-card (7)'!G5</f>
        <v>3.3</v>
      </c>
      <c r="E55" s="1"/>
      <c r="G55" s="44">
        <f>'STM-card (8)'!D5</f>
        <v>0</v>
      </c>
      <c r="H55" s="2" t="str">
        <f>'STM-card (8)'!E5</f>
        <v>VB/SWCLK</v>
      </c>
      <c r="I55" s="3"/>
      <c r="J55" s="4" t="str">
        <f>'STM-card (8)'!G5</f>
        <v>3.3</v>
      </c>
      <c r="K55" s="1"/>
    </row>
    <row r="56" spans="1:17" x14ac:dyDescent="0.3">
      <c r="A56" s="45">
        <f>'STM-card (7)'!D6</f>
        <v>0</v>
      </c>
      <c r="B56" s="5" t="str">
        <f>'STM-card (7)'!E6</f>
        <v>C13</v>
      </c>
      <c r="C56" s="6"/>
      <c r="D56" s="7" t="str">
        <f>'STM-card (7)'!G6</f>
        <v>G</v>
      </c>
      <c r="E56" s="1"/>
      <c r="G56" s="45">
        <f>'STM-card (8)'!D6</f>
        <v>0</v>
      </c>
      <c r="H56" s="5" t="str">
        <f>'STM-card (8)'!E6</f>
        <v>C13</v>
      </c>
      <c r="I56" s="6"/>
      <c r="J56" s="7" t="str">
        <f>'STM-card (8)'!G6</f>
        <v>G</v>
      </c>
      <c r="K56" s="1"/>
    </row>
    <row r="57" spans="1:17" ht="15" thickBot="1" x14ac:dyDescent="0.35">
      <c r="A57" s="45">
        <f>'STM-card (7)'!D7</f>
        <v>0</v>
      </c>
      <c r="B57" s="5" t="str">
        <f>'STM-card (7)'!E7</f>
        <v>C14</v>
      </c>
      <c r="C57" s="6"/>
      <c r="D57" s="7" t="str">
        <f>'STM-card (7)'!G7</f>
        <v>5V</v>
      </c>
      <c r="E57" s="12" t="str">
        <f>'STM-card (7)'!H7</f>
        <v>WING 1 - INCANDESCENT</v>
      </c>
      <c r="G57" s="45">
        <f>'STM-card (8)'!D7</f>
        <v>0</v>
      </c>
      <c r="H57" s="5" t="str">
        <f>'STM-card (8)'!E7</f>
        <v>C14</v>
      </c>
      <c r="I57" s="6"/>
      <c r="J57" s="7" t="str">
        <f>'STM-card (8)'!G7</f>
        <v>5V</v>
      </c>
      <c r="K57" s="12" t="str">
        <f>'STM-card (8)'!H7</f>
        <v>WING 1 - INPUT</v>
      </c>
    </row>
    <row r="58" spans="1:17" x14ac:dyDescent="0.3">
      <c r="A58" s="45">
        <f>'STM-card (7)'!D8</f>
        <v>0</v>
      </c>
      <c r="B58" s="5" t="str">
        <f>'STM-card (7)'!E8</f>
        <v>C15</v>
      </c>
      <c r="C58" s="6"/>
      <c r="D58" s="7" t="str">
        <f>'STM-card (7)'!G8</f>
        <v>B9</v>
      </c>
      <c r="E58" s="44">
        <f>'STM-card (7)'!H8</f>
        <v>0</v>
      </c>
      <c r="G58" s="45">
        <f>'STM-card (8)'!D8</f>
        <v>0</v>
      </c>
      <c r="H58" s="5" t="str">
        <f>'STM-card (8)'!E8</f>
        <v>C15</v>
      </c>
      <c r="I58" s="6"/>
      <c r="J58" s="7" t="str">
        <f>'STM-card (8)'!G8</f>
        <v>B9</v>
      </c>
      <c r="K58" s="44">
        <f>'STM-card (8)'!H8</f>
        <v>0</v>
      </c>
    </row>
    <row r="59" spans="1:17" x14ac:dyDescent="0.3">
      <c r="A59" s="45">
        <f>'STM-card (7)'!D9</f>
        <v>0</v>
      </c>
      <c r="B59" s="5" t="str">
        <f>'STM-card (7)'!E9</f>
        <v>A0</v>
      </c>
      <c r="C59" s="6"/>
      <c r="D59" s="7" t="str">
        <f>'STM-card (7)'!G9</f>
        <v>B8</v>
      </c>
      <c r="E59" s="45" t="str">
        <f>'STM-card (7)'!H9</f>
        <v>Backbox_Extra_Ball</v>
      </c>
      <c r="G59" s="45">
        <f>'STM-card (8)'!D9</f>
        <v>0</v>
      </c>
      <c r="H59" s="5" t="str">
        <f>'STM-card (8)'!E9</f>
        <v>A0</v>
      </c>
      <c r="I59" s="6"/>
      <c r="J59" s="7" t="str">
        <f>'STM-card (8)'!G9</f>
        <v>B8</v>
      </c>
      <c r="K59" s="45">
        <f>'STM-card (8)'!H9</f>
        <v>0</v>
      </c>
    </row>
    <row r="60" spans="1:17" x14ac:dyDescent="0.3">
      <c r="A60" s="45">
        <f>'STM-card (7)'!D10</f>
        <v>0</v>
      </c>
      <c r="B60" s="5" t="str">
        <f>'STM-card (7)'!E10</f>
        <v>A1</v>
      </c>
      <c r="C60" s="6"/>
      <c r="D60" s="7" t="str">
        <f>'STM-card (7)'!G10</f>
        <v>B7</v>
      </c>
      <c r="E60" s="45" t="str">
        <f>'STM-card (7)'!H10</f>
        <v>Backbox_Game_over</v>
      </c>
      <c r="G60" s="45">
        <f>'STM-card (8)'!D10</f>
        <v>0</v>
      </c>
      <c r="H60" s="5" t="str">
        <f>'STM-card (8)'!E10</f>
        <v>A1</v>
      </c>
      <c r="I60" s="6"/>
      <c r="J60" s="7" t="str">
        <f>'STM-card (8)'!G10</f>
        <v>B7</v>
      </c>
      <c r="K60" s="45">
        <f>'STM-card (8)'!H10</f>
        <v>0</v>
      </c>
    </row>
    <row r="61" spans="1:17" x14ac:dyDescent="0.3">
      <c r="A61" s="45">
        <f>'STM-card (7)'!D11</f>
        <v>0</v>
      </c>
      <c r="B61" s="5" t="str">
        <f>'STM-card (7)'!E11</f>
        <v>A2</v>
      </c>
      <c r="C61" s="6"/>
      <c r="D61" s="7" t="str">
        <f>'STM-card (7)'!G11</f>
        <v>B6</v>
      </c>
      <c r="E61" s="45" t="str">
        <f>'STM-card (7)'!H11</f>
        <v>Backbox_TILT</v>
      </c>
      <c r="G61" s="45">
        <f>'STM-card (8)'!D11</f>
        <v>0</v>
      </c>
      <c r="H61" s="5" t="str">
        <f>'STM-card (8)'!E11</f>
        <v>A2</v>
      </c>
      <c r="I61" s="6"/>
      <c r="J61" s="7" t="str">
        <f>'STM-card (8)'!G11</f>
        <v>B6</v>
      </c>
      <c r="K61" s="45">
        <f>'STM-card (8)'!H11</f>
        <v>0</v>
      </c>
    </row>
    <row r="62" spans="1:17" ht="15" thickBot="1" x14ac:dyDescent="0.35">
      <c r="A62" s="46">
        <f>'STM-card (7)'!D12</f>
        <v>0</v>
      </c>
      <c r="B62" s="5" t="str">
        <f>'STM-card (7)'!E12</f>
        <v>A3</v>
      </c>
      <c r="C62" s="6"/>
      <c r="D62" s="7" t="str">
        <f>'STM-card (7)'!G12</f>
        <v>B5</v>
      </c>
      <c r="E62" s="45" t="str">
        <f>'STM-card (7)'!H12</f>
        <v>Backbox_Player4_score</v>
      </c>
      <c r="G62" s="46">
        <f>'STM-card (8)'!D12</f>
        <v>0</v>
      </c>
      <c r="H62" s="5" t="str">
        <f>'STM-card (8)'!E12</f>
        <v>A3</v>
      </c>
      <c r="I62" s="6"/>
      <c r="J62" s="7" t="str">
        <f>'STM-card (8)'!G12</f>
        <v>B5</v>
      </c>
      <c r="K62" s="45">
        <f>'STM-card (8)'!H12</f>
        <v>0</v>
      </c>
    </row>
    <row r="63" spans="1:17" x14ac:dyDescent="0.3">
      <c r="A63" s="44" t="str">
        <f>'STM-card (7)'!D13</f>
        <v>Backbox_Ball1</v>
      </c>
      <c r="B63" s="5" t="str">
        <f>'STM-card (7)'!E13</f>
        <v>A4</v>
      </c>
      <c r="C63" s="6"/>
      <c r="D63" s="7" t="str">
        <f>'STM-card (7)'!G13</f>
        <v>B4</v>
      </c>
      <c r="E63" s="45" t="str">
        <f>'STM-card (7)'!H13</f>
        <v>Backbox_Player3_score</v>
      </c>
      <c r="G63" s="44">
        <f>'STM-card (8)'!D13</f>
        <v>0</v>
      </c>
      <c r="H63" s="5" t="str">
        <f>'STM-card (8)'!E13</f>
        <v>A4</v>
      </c>
      <c r="I63" s="6"/>
      <c r="J63" s="7" t="str">
        <f>'STM-card (8)'!G13</f>
        <v>B4</v>
      </c>
      <c r="K63" s="45">
        <f>'STM-card (8)'!H13</f>
        <v>0</v>
      </c>
    </row>
    <row r="64" spans="1:17" x14ac:dyDescent="0.3">
      <c r="A64" s="45" t="str">
        <f>'STM-card (7)'!D14</f>
        <v>Backbox_Ball2</v>
      </c>
      <c r="B64" s="5" t="str">
        <f>'STM-card (7)'!E14</f>
        <v>A5</v>
      </c>
      <c r="C64" s="6"/>
      <c r="D64" s="7" t="str">
        <f>'STM-card (7)'!G14</f>
        <v>B3</v>
      </c>
      <c r="E64" s="45" t="str">
        <f>'STM-card (7)'!H14</f>
        <v>Backbox_Player2_score</v>
      </c>
      <c r="G64" s="45">
        <f>'STM-card (8)'!D14</f>
        <v>0</v>
      </c>
      <c r="H64" s="5" t="str">
        <f>'STM-card (8)'!E14</f>
        <v>A5</v>
      </c>
      <c r="I64" s="6"/>
      <c r="J64" s="7" t="str">
        <f>'STM-card (8)'!G14</f>
        <v>B3</v>
      </c>
      <c r="K64" s="45">
        <f>'STM-card (8)'!H14</f>
        <v>0</v>
      </c>
    </row>
    <row r="65" spans="1:11" ht="15" thickBot="1" x14ac:dyDescent="0.35">
      <c r="A65" s="45" t="str">
        <f>'STM-card (7)'!D15</f>
        <v>Backbox_Ball3</v>
      </c>
      <c r="B65" s="5" t="str">
        <f>'STM-card (7)'!E15</f>
        <v>A6</v>
      </c>
      <c r="C65" s="6"/>
      <c r="D65" s="7" t="str">
        <f>'STM-card (7)'!G15</f>
        <v>A15</v>
      </c>
      <c r="E65" s="46" t="str">
        <f>'STM-card (7)'!H15</f>
        <v>Backbox_Player1_score</v>
      </c>
      <c r="G65" s="45">
        <f>'STM-card (8)'!D15</f>
        <v>0</v>
      </c>
      <c r="H65" s="5" t="str">
        <f>'STM-card (8)'!E15</f>
        <v>A6</v>
      </c>
      <c r="I65" s="6"/>
      <c r="J65" s="7" t="str">
        <f>'STM-card (8)'!G15</f>
        <v>A15</v>
      </c>
      <c r="K65" s="46">
        <f>'STM-card (8)'!H15</f>
        <v>0</v>
      </c>
    </row>
    <row r="66" spans="1:11" x14ac:dyDescent="0.3">
      <c r="A66" s="45" t="str">
        <f>'STM-card (7)'!D16</f>
        <v>Backbox_Player1_turn</v>
      </c>
      <c r="B66" s="5" t="str">
        <f>'STM-card (7)'!E16</f>
        <v>A7</v>
      </c>
      <c r="C66" s="6"/>
      <c r="D66" s="13" t="str">
        <f>'STM-card (7)'!G16</f>
        <v>A12</v>
      </c>
      <c r="E66" s="1"/>
      <c r="G66" s="45">
        <f>'STM-card (8)'!D16</f>
        <v>0</v>
      </c>
      <c r="H66" s="5" t="str">
        <f>'STM-card (8)'!E16</f>
        <v>A7</v>
      </c>
      <c r="I66" s="6"/>
      <c r="J66" s="13" t="str">
        <f>'STM-card (8)'!G16</f>
        <v>A12</v>
      </c>
      <c r="K66" s="1"/>
    </row>
    <row r="67" spans="1:11" ht="15" thickBot="1" x14ac:dyDescent="0.35">
      <c r="A67" s="45" t="str">
        <f>'STM-card (7)'!D17</f>
        <v>Backbox_Player2_turn</v>
      </c>
      <c r="B67" s="5" t="str">
        <f>'STM-card (7)'!E17</f>
        <v>B0</v>
      </c>
      <c r="C67" s="6"/>
      <c r="D67" s="13" t="str">
        <f>'STM-card (7)'!G17</f>
        <v>A11</v>
      </c>
      <c r="E67" s="12" t="str">
        <f>'STM-card (7)'!H17</f>
        <v>WING 0 - INPUT</v>
      </c>
      <c r="G67" s="45">
        <f>'STM-card (8)'!D17</f>
        <v>0</v>
      </c>
      <c r="H67" s="5" t="str">
        <f>'STM-card (8)'!E17</f>
        <v>B0</v>
      </c>
      <c r="I67" s="6"/>
      <c r="J67" s="13" t="str">
        <f>'STM-card (8)'!G17</f>
        <v>A11</v>
      </c>
      <c r="K67" s="12" t="str">
        <f>'STM-card (8)'!H17</f>
        <v>WING 0 - INPUT</v>
      </c>
    </row>
    <row r="68" spans="1:11" x14ac:dyDescent="0.3">
      <c r="A68" s="45" t="str">
        <f>'STM-card (7)'!D18</f>
        <v>Backbox_Player3_turn</v>
      </c>
      <c r="B68" s="5" t="str">
        <f>'STM-card (7)'!E18</f>
        <v>B1</v>
      </c>
      <c r="C68" s="6"/>
      <c r="D68" s="6" t="str">
        <f>'STM-card (7)'!G18</f>
        <v>A10</v>
      </c>
      <c r="E68" s="44">
        <f>'STM-card (7)'!H18</f>
        <v>0</v>
      </c>
      <c r="G68" s="45">
        <f>'STM-card (8)'!D18</f>
        <v>0</v>
      </c>
      <c r="H68" s="5" t="str">
        <f>'STM-card (8)'!E18</f>
        <v>B1</v>
      </c>
      <c r="I68" s="6"/>
      <c r="J68" s="6" t="str">
        <f>'STM-card (8)'!G18</f>
        <v>A10</v>
      </c>
      <c r="K68" s="44">
        <f>'STM-card (8)'!H18</f>
        <v>0</v>
      </c>
    </row>
    <row r="69" spans="1:11" x14ac:dyDescent="0.3">
      <c r="A69" s="45" t="str">
        <f>'STM-card (7)'!D19</f>
        <v>Backbox_Player4_turn</v>
      </c>
      <c r="B69" s="5" t="str">
        <f>'STM-card (7)'!E19</f>
        <v>B10</v>
      </c>
      <c r="C69" s="6"/>
      <c r="D69" s="6" t="str">
        <f>'STM-card (7)'!G19</f>
        <v>A9</v>
      </c>
      <c r="E69" s="45">
        <f>'STM-card (7)'!H19</f>
        <v>0</v>
      </c>
      <c r="G69" s="45">
        <f>'STM-card (8)'!D19</f>
        <v>0</v>
      </c>
      <c r="H69" s="5" t="str">
        <f>'STM-card (8)'!E19</f>
        <v>B10</v>
      </c>
      <c r="I69" s="6"/>
      <c r="J69" s="6" t="str">
        <f>'STM-card (8)'!G19</f>
        <v>A9</v>
      </c>
      <c r="K69" s="45">
        <f>'STM-card (8)'!H19</f>
        <v>0</v>
      </c>
    </row>
    <row r="70" spans="1:11" ht="15" thickBot="1" x14ac:dyDescent="0.35">
      <c r="A70" s="46">
        <f>'STM-card (7)'!D20</f>
        <v>0</v>
      </c>
      <c r="B70" s="5" t="str">
        <f>'STM-card (7)'!E20</f>
        <v>B11</v>
      </c>
      <c r="C70" s="6"/>
      <c r="D70" s="6" t="str">
        <f>'STM-card (7)'!G20</f>
        <v>A8</v>
      </c>
      <c r="E70" s="45">
        <f>'STM-card (7)'!H20</f>
        <v>0</v>
      </c>
      <c r="G70" s="46">
        <f>'STM-card (8)'!D20</f>
        <v>0</v>
      </c>
      <c r="H70" s="5" t="str">
        <f>'STM-card (8)'!E20</f>
        <v>B11</v>
      </c>
      <c r="I70" s="6"/>
      <c r="J70" s="6" t="str">
        <f>'STM-card (8)'!G20</f>
        <v>A8</v>
      </c>
      <c r="K70" s="45">
        <f>'STM-card (8)'!H20</f>
        <v>0</v>
      </c>
    </row>
    <row r="71" spans="1:11" x14ac:dyDescent="0.3">
      <c r="A71" s="12" t="str">
        <f>'STM-card (7)'!D21</f>
        <v>WING 3 - INCANDESCENT</v>
      </c>
      <c r="B71" s="5" t="str">
        <f>'STM-card (7)'!E21</f>
        <v>R</v>
      </c>
      <c r="C71" s="6"/>
      <c r="D71" s="6" t="str">
        <f>'STM-card (7)'!G21</f>
        <v>B15</v>
      </c>
      <c r="E71" s="45">
        <f>'STM-card (7)'!H21</f>
        <v>0</v>
      </c>
      <c r="G71" s="12" t="str">
        <f>'STM-card (8)'!D21</f>
        <v>WING 3 - INPUT</v>
      </c>
      <c r="H71" s="5" t="str">
        <f>'STM-card (8)'!E21</f>
        <v>R</v>
      </c>
      <c r="I71" s="6"/>
      <c r="J71" s="6" t="str">
        <f>'STM-card (8)'!G21</f>
        <v>B15</v>
      </c>
      <c r="K71" s="45">
        <f>'STM-card (8)'!H21</f>
        <v>0</v>
      </c>
    </row>
    <row r="72" spans="1:11" x14ac:dyDescent="0.3">
      <c r="A72" s="1"/>
      <c r="B72" s="5" t="str">
        <f>'STM-card (7)'!E22</f>
        <v>3.3</v>
      </c>
      <c r="C72" s="6"/>
      <c r="D72" s="6" t="str">
        <f>'STM-card (7)'!G22</f>
        <v>B14</v>
      </c>
      <c r="E72" s="45">
        <f>'STM-card (7)'!H22</f>
        <v>0</v>
      </c>
      <c r="G72" s="1"/>
      <c r="H72" s="5" t="str">
        <f>'STM-card (8)'!E22</f>
        <v>3.3</v>
      </c>
      <c r="I72" s="6"/>
      <c r="J72" s="6" t="str">
        <f>'STM-card (8)'!G22</f>
        <v>B14</v>
      </c>
      <c r="K72" s="45">
        <f>'STM-card (8)'!H22</f>
        <v>0</v>
      </c>
    </row>
    <row r="73" spans="1:11" x14ac:dyDescent="0.3">
      <c r="A73" s="1"/>
      <c r="B73" s="5" t="str">
        <f>'STM-card (7)'!E23</f>
        <v>G</v>
      </c>
      <c r="C73" s="6"/>
      <c r="D73" s="6" t="str">
        <f>'STM-card (7)'!G23</f>
        <v>B13</v>
      </c>
      <c r="E73" s="45">
        <f>'STM-card (7)'!H23</f>
        <v>0</v>
      </c>
      <c r="G73" s="1"/>
      <c r="H73" s="5" t="str">
        <f>'STM-card (8)'!E23</f>
        <v>G</v>
      </c>
      <c r="I73" s="6"/>
      <c r="J73" s="6" t="str">
        <f>'STM-card (8)'!G23</f>
        <v>B13</v>
      </c>
      <c r="K73" s="45">
        <f>'STM-card (8)'!H23</f>
        <v>0</v>
      </c>
    </row>
    <row r="74" spans="1:11" ht="15" thickBot="1" x14ac:dyDescent="0.35">
      <c r="A74" s="1"/>
      <c r="B74" s="8" t="str">
        <f>'STM-card (7)'!E24</f>
        <v>G</v>
      </c>
      <c r="C74" s="9"/>
      <c r="D74" s="9" t="str">
        <f>'STM-card (7)'!G24</f>
        <v>B12</v>
      </c>
      <c r="E74" s="45">
        <f>'STM-card (7)'!H24</f>
        <v>0</v>
      </c>
      <c r="G74" s="1"/>
      <c r="H74" s="8" t="str">
        <f>'STM-card (8)'!E24</f>
        <v>G</v>
      </c>
      <c r="I74" s="9"/>
      <c r="J74" s="9" t="str">
        <f>'STM-card (8)'!G24</f>
        <v>B12</v>
      </c>
      <c r="K74" s="45">
        <f>'STM-card (8)'!H24</f>
        <v>0</v>
      </c>
    </row>
    <row r="75" spans="1:11" ht="15" thickBot="1" x14ac:dyDescent="0.35">
      <c r="A75" s="1"/>
      <c r="B75" s="1"/>
      <c r="C75" s="1"/>
      <c r="D75" s="10" t="str">
        <f>'STM-card (7)'!G25</f>
        <v>SWIO</v>
      </c>
      <c r="E75" s="46">
        <f>'STM-card (7)'!H25</f>
        <v>0</v>
      </c>
      <c r="G75" s="1"/>
      <c r="H75" s="1"/>
      <c r="I75" s="1"/>
      <c r="J75" s="10" t="str">
        <f>'STM-card (8)'!G25</f>
        <v>SWIO</v>
      </c>
      <c r="K75" s="46">
        <f>'STM-card (8)'!H25</f>
        <v>0</v>
      </c>
    </row>
  </sheetData>
  <pageMargins left="0.23622047244094488" right="0.23622047244094488" top="0.74803149606299213" bottom="0.74803149606299213" header="0.31496062992125984" footer="0.31496062992125984"/>
  <pageSetup paperSize="9" scale="56" fitToHeight="0" orientation="landscape" r:id="rId1"/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E605F-0208-4478-8142-5C38DF27F51A}">
  <sheetPr codeName="Feuil2"/>
  <dimension ref="A1:K78"/>
  <sheetViews>
    <sheetView zoomScale="55" zoomScaleNormal="55" workbookViewId="0">
      <selection activeCell="D28" sqref="D28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1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SOLENOID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72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73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177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74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118</v>
      </c>
      <c r="E13" s="5" t="s">
        <v>27</v>
      </c>
      <c r="F13" s="6"/>
      <c r="G13" s="7" t="s">
        <v>11</v>
      </c>
      <c r="H13" s="38" t="s">
        <v>76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86</v>
      </c>
      <c r="E14" s="5" t="s">
        <v>28</v>
      </c>
      <c r="F14" s="6"/>
      <c r="G14" s="7" t="s">
        <v>10</v>
      </c>
      <c r="H14" s="38" t="s">
        <v>78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83</v>
      </c>
      <c r="E15" s="5" t="s">
        <v>29</v>
      </c>
      <c r="F15" s="6"/>
      <c r="G15" s="7" t="s">
        <v>9</v>
      </c>
      <c r="H15" s="39" t="s">
        <v>80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82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81</v>
      </c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79</v>
      </c>
      <c r="E18" s="5" t="s">
        <v>32</v>
      </c>
      <c r="F18" s="6"/>
      <c r="G18" s="6" t="s">
        <v>6</v>
      </c>
      <c r="H18" s="37" t="s">
        <v>132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77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 t="s">
        <v>75</v>
      </c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 t="s">
        <v>45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89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90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91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213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s_Flipper_Left_Bottom:</v>
      </c>
      <c r="D33" t="s">
        <v>52</v>
      </c>
      <c r="E33" s="21" t="str">
        <f>IF(OR($B$28=$H$2,$B$28=$H$1),IF(ISBLANK(D5),"","s_"&amp;D5&amp;":"),"")</f>
        <v>s_Slingshot_Left:</v>
      </c>
      <c r="F33" t="s">
        <v>52</v>
      </c>
      <c r="G33" s="21" t="str">
        <f>IF(OR($B$29=$H$2,$B$29=$H$1),IF(ISBLANK(D13),"","s_"&amp;D13&amp;":"),"")</f>
        <v>s_Outlane_Left: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1-0-8</v>
      </c>
      <c r="E34" s="21" t="s">
        <v>52</v>
      </c>
      <c r="F34" s="22" t="str">
        <f>IF(OR($B$28=$H$2,$B$28=$H$1),IF(ISBLANK(D5),"","number: "&amp;$E$2&amp;"-0-"&amp;C5),"")</f>
        <v>number: 1-0-16</v>
      </c>
      <c r="G34" s="21" t="s">
        <v>52</v>
      </c>
      <c r="H34" s="22" t="str">
        <f>IF(OR($B$29=$H$2,$B$29=$H$1),IF(ISBLANK(D13),"","number: "&amp;$E$2&amp;"-0-"&amp;C13),"")</f>
        <v>number: 1-0-24</v>
      </c>
      <c r="I34" s="11"/>
      <c r="K34"/>
    </row>
    <row r="35" spans="1:11" x14ac:dyDescent="0.3">
      <c r="A35" s="21" t="str">
        <f>IF(OR(OR($B$26=$H$2,$B$26=$H$4),$B$26=$H$1),IF(ISBLANK(H24),"","s_"&amp;H24&amp;":"),"")</f>
        <v>s_Target_J:</v>
      </c>
      <c r="B35" s="22" t="s">
        <v>52</v>
      </c>
      <c r="C35" s="21" t="str">
        <f>IF(OR($B$27=$H$2,$B$27=$H$1),IF(ISBLANK(H14),"","s_"&amp;H14&amp;":"),"")</f>
        <v>s_Flipper_Left_Top:</v>
      </c>
      <c r="D35" s="22" t="s">
        <v>52</v>
      </c>
      <c r="E35" s="21" t="str">
        <f>IF(OR($B$28=$H$2,$B$28=$H$1),IF(ISBLANK(D6),"","s_"&amp;D6&amp;":"),"")</f>
        <v>s_Slingshot_Right:</v>
      </c>
      <c r="F35" s="22" t="s">
        <v>52</v>
      </c>
      <c r="G35" s="21" t="str">
        <f>IF(OR($B$29=$H$2,$B$29=$H$1),IF(ISBLANK(D14),"","s_"&amp;D14&amp;":"),"")</f>
        <v>s_Target_Adv_Bonus_Left_Bottom: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1-0-1</v>
      </c>
      <c r="C36" s="21" t="s">
        <v>52</v>
      </c>
      <c r="D36" s="22" t="str">
        <f>IF(OR($B$27=$H$2,$B$27=$H$1),IF(ISBLANK(H14),"","number: "&amp;$E$2&amp;"-0-"&amp;I14),"")</f>
        <v>number: 1-0-9</v>
      </c>
      <c r="E36" s="21" t="s">
        <v>52</v>
      </c>
      <c r="F36" s="22" t="str">
        <f>IF(OR($B$28=$H$2,$B$28=$H$1),IF(ISBLANK(D6),"","number: "&amp;$E$2&amp;"-0-"&amp;C6),"")</f>
        <v>number: 1-0-17</v>
      </c>
      <c r="G36" s="21" t="s">
        <v>52</v>
      </c>
      <c r="H36" s="22" t="str">
        <f>IF(OR($B$29=$H$2,$B$29=$H$1),IF(ISBLANK(D14),"","number: "&amp;$E$2&amp;"-0-"&amp;C14),"")</f>
        <v>number: 1-0-25</v>
      </c>
      <c r="I36" s="11"/>
      <c r="K36"/>
    </row>
    <row r="37" spans="1:11" x14ac:dyDescent="0.3">
      <c r="A37" s="21" t="str">
        <f>IF(OR(OR($B$26=$H$2,$B$26=$H$4),$B$26=$H$1),IF(ISBLANK(H23),"","s_"&amp;H23&amp;":"),"")</f>
        <v>s_Target_Q:</v>
      </c>
      <c r="B37" s="22" t="s">
        <v>52</v>
      </c>
      <c r="C37" s="21" t="str">
        <f>IF(OR($B$27=$H$2,$B$27=$H$1),IF(ISBLANK(H13),"","s_"&amp;H13&amp;":"),"")</f>
        <v>s_Flipper_Right_Bottom:</v>
      </c>
      <c r="D37" s="22" t="s">
        <v>52</v>
      </c>
      <c r="E37" s="21" t="str">
        <f>IF(OR($B$28=$H$2,$B$28=$H$1),IF(ISBLANK(D7),"","s_"&amp;D7&amp;":"),"")</f>
        <v>s_Drain:</v>
      </c>
      <c r="F37" s="22" t="s">
        <v>52</v>
      </c>
      <c r="G37" s="21" t="str">
        <f>IF(OR($B$29=$H$2,$B$29=$H$1),IF(ISBLANK(D15),"","s_"&amp;D15&amp;":"),"")</f>
        <v>s_Target_10: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1-0-2</v>
      </c>
      <c r="C38" s="21" t="s">
        <v>52</v>
      </c>
      <c r="D38" s="22" t="str">
        <f>IF(OR($B$27=$H$2,$B$27=$H$1),IF(ISBLANK(H13),"","number: "&amp;$E$2&amp;"-0-"&amp;I13),"")</f>
        <v>number: 1-0-10</v>
      </c>
      <c r="E38" s="21" t="s">
        <v>52</v>
      </c>
      <c r="F38" s="22" t="str">
        <f>IF(OR($B$28=$H$2,$B$28=$H$1),IF(ISBLANK(D7),"","number: "&amp;$E$2&amp;"-0-"&amp;C7),"")</f>
        <v>number: 1-0-18</v>
      </c>
      <c r="G38" s="21" t="s">
        <v>52</v>
      </c>
      <c r="H38" s="22" t="str">
        <f>IF(OR($B$29=$H$2,$B$29=$H$1),IF(ISBLANK(D15),"","number: "&amp;$E$2&amp;"-0-"&amp;C15),"")</f>
        <v>number: 1-0-26</v>
      </c>
      <c r="I38" s="11"/>
      <c r="K38"/>
    </row>
    <row r="39" spans="1:11" x14ac:dyDescent="0.3">
      <c r="A39" s="21" t="str">
        <f>IF(OR(OR($B$26=$H$2,$B$26=$H$4),$B$26=$H$1),IF(ISBLANK(H22),"","s_"&amp;H22&amp;":"),"")</f>
        <v>s_Target_K:</v>
      </c>
      <c r="B39" s="22" t="s">
        <v>52</v>
      </c>
      <c r="C39" s="21" t="str">
        <f>IF(OR($B$27=$H$2,$B$27=$H$1),IF(ISBLANK(H12),"","s_"&amp;H12&amp;":"),"")</f>
        <v>s_Flipper_Right_Top: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s_Rollover_7: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1-0-3</v>
      </c>
      <c r="C40" t="s">
        <v>52</v>
      </c>
      <c r="D40" s="22" t="str">
        <f>IF(OR($B$27=$H$2,$B$27=$H$1),IF(ISBLANK(H12),"","number: "&amp;$E$2&amp;"-0-"&amp;I12),"")</f>
        <v>number: 1-0-11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1-0-27</v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>s_Rollover_8:</v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>number: 1-0-28</v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>s_Rollover_9:</v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>number: 1-0-29</v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>s_Inlane_Bottom:</v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>number: 1-0-30</v>
      </c>
      <c r="I46" s="11"/>
      <c r="K46"/>
    </row>
    <row r="47" spans="1:11" x14ac:dyDescent="0.3">
      <c r="A47" s="21" t="str">
        <f>IF(OR($B$26=$H$2,$B$26=$H$4),IF(ISBLANK(H18),"","s_"&amp;H18&amp;":"),"")</f>
        <v>s_Tilt_playfield: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>s_Outlane_Right:</v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1-0-7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>number: 1-0-31</v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c_Flipper_Left_Bottom:</v>
      </c>
      <c r="D52" s="22" t="s">
        <v>52</v>
      </c>
      <c r="E52" s="21" t="str">
        <f>IF($B$28=$H$1,IF(ISBLANK(D5),"","c_"&amp;D5&amp;":"),"")</f>
        <v>c_Slingshot_Left:</v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1-0-4</v>
      </c>
      <c r="E53" s="21" t="s">
        <v>52</v>
      </c>
      <c r="F53" s="22" t="str">
        <f>IF($B$28=$H$1,IF(ISBLANK(D5),"","number: "&amp;$E$2&amp;"-0-"&amp;A5),"")</f>
        <v>number: 1-0-8</v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c_Flipper_Left_Top:</v>
      </c>
      <c r="D54" s="22" t="s">
        <v>52</v>
      </c>
      <c r="E54" s="21" t="str">
        <f>IF($B$28=$H$1,IF(ISBLANK(D6),"","c_"&amp;D6&amp;":"),"")</f>
        <v>c_Slingshot_Right:</v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1-0-5</v>
      </c>
      <c r="E55" s="21" t="s">
        <v>52</v>
      </c>
      <c r="F55" s="22" t="str">
        <f>IF($B$28=$H$1,IF(ISBLANK(D6),"","number: "&amp;$E$2&amp;"-0-"&amp;A6),"")</f>
        <v>number: 1-0-9</v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c_Flipper_Right_Bottom:</v>
      </c>
      <c r="D56" s="22" t="s">
        <v>52</v>
      </c>
      <c r="E56" s="21" t="str">
        <f>IF($B$28=$H$1,IF(ISBLANK(D7),"","c_"&amp;D7&amp;":"),"")</f>
        <v>c_Drain:</v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1-0-6</v>
      </c>
      <c r="E57" s="21" t="s">
        <v>52</v>
      </c>
      <c r="F57" s="22" t="str">
        <f>IF($B$28=$H$1,IF(ISBLANK(D7),"","number: "&amp;$E$2&amp;"-0-"&amp;A7),"")</f>
        <v>number: 1-0-10</v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c_Flipper_Right_Top: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1-0-7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24D8A651-A1E7-471D-A5D1-57AFAEA71946}">
      <formula1>$H$1:$H$4</formula1>
    </dataValidation>
    <dataValidation type="list" allowBlank="1" showInputMessage="1" showErrorMessage="1" sqref="B27:B29" xr:uid="{BD5BEE7F-1B74-4CEA-9A78-ECD923D0BE8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FD3B3-4C9D-4B54-A3BC-495C32193907}">
  <sheetPr codeName="Feuil3"/>
  <dimension ref="A1:K78"/>
  <sheetViews>
    <sheetView zoomScale="55" zoomScaleNormal="55" workbookViewId="0">
      <selection activeCell="D9" sqref="D9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32.5546875" bestFit="1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2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87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130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131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347</v>
      </c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 t="s">
        <v>84</v>
      </c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 t="s">
        <v>126</v>
      </c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 t="s">
        <v>85</v>
      </c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 t="s">
        <v>88</v>
      </c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 t="s">
        <v>129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 t="s">
        <v>128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 t="s">
        <v>127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 t="s">
        <v>123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 t="s">
        <v>124</v>
      </c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 t="s">
        <v>125</v>
      </c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 t="s">
        <v>119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120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121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122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s_Left_Bumper:</v>
      </c>
      <c r="D33" t="s">
        <v>52</v>
      </c>
      <c r="E33" s="21" t="str">
        <f>IF(OR($B$28=$H$2,$B$28=$H$1),IF(ISBLANK(D5),"","s_"&amp;D5&amp;":"),"")</f>
        <v>s_Target_1000:</v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2-0-8</v>
      </c>
      <c r="E34" s="21" t="s">
        <v>52</v>
      </c>
      <c r="F34" s="22" t="str">
        <f>IF(OR($B$28=$H$2,$B$28=$H$1),IF(ISBLANK(D5),"","number: "&amp;$E$2&amp;"-0-"&amp;C5),"")</f>
        <v>number: 2-0-16</v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>s_Rollover_6:</v>
      </c>
      <c r="B35" s="22" t="s">
        <v>52</v>
      </c>
      <c r="C35" s="21" t="str">
        <f>IF(OR($B$27=$H$2,$B$27=$H$1),IF(ISBLANK(H14),"","s_"&amp;H14&amp;":"),"")</f>
        <v>s_Right_Bumper:</v>
      </c>
      <c r="D35" s="22" t="s">
        <v>52</v>
      </c>
      <c r="E35" s="21" t="str">
        <f>IF(OR($B$28=$H$2,$B$28=$H$1),IF(ISBLANK(D6),"","s_"&amp;D6&amp;":"),"")</f>
        <v>s_Lane_Top_Left:</v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2-0-1</v>
      </c>
      <c r="C36" s="21" t="s">
        <v>52</v>
      </c>
      <c r="D36" s="22" t="str">
        <f>IF(OR($B$27=$H$2,$B$27=$H$1),IF(ISBLANK(H14),"","number: "&amp;$E$2&amp;"-0-"&amp;I14),"")</f>
        <v>number: 2-0-9</v>
      </c>
      <c r="E36" s="21" t="s">
        <v>52</v>
      </c>
      <c r="F36" s="22" t="str">
        <f>IF(OR($B$28=$H$2,$B$28=$H$1),IF(ISBLANK(D6),"","number: "&amp;$E$2&amp;"-0-"&amp;C6),"")</f>
        <v>number: 2-0-17</v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>s_Rollover_5:</v>
      </c>
      <c r="B37" s="22" t="s">
        <v>52</v>
      </c>
      <c r="C37" s="21" t="str">
        <f>IF(OR($B$27=$H$2,$B$27=$H$1),IF(ISBLANK(H13),"","s_"&amp;H13&amp;":"),"")</f>
        <v>s_Top_Bumper:</v>
      </c>
      <c r="D37" s="22" t="s">
        <v>52</v>
      </c>
      <c r="E37" s="21" t="str">
        <f>IF(OR($B$28=$H$2,$B$28=$H$1),IF(ISBLANK(D7),"","s_"&amp;D7&amp;":"),"")</f>
        <v>s_Lane_Top_Right:</v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2-0-2</v>
      </c>
      <c r="C38" s="21" t="s">
        <v>52</v>
      </c>
      <c r="D38" s="22" t="str">
        <f>IF(OR($B$27=$H$2,$B$27=$H$1),IF(ISBLANK(H13),"","number: "&amp;$E$2&amp;"-0-"&amp;I13),"")</f>
        <v>number: 2-0-10</v>
      </c>
      <c r="E38" s="21" t="s">
        <v>52</v>
      </c>
      <c r="F38" s="22" t="str">
        <f>IF(OR($B$28=$H$2,$B$28=$H$1),IF(ISBLANK(D7),"","number: "&amp;$E$2&amp;"-0-"&amp;C7),"")</f>
        <v>number: 2-0-18</v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>s_Rollover_4:</v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>s_Rollover_1000:</v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2-0-3</v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>number: 2-0-19</v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>s_SPECIAL:</v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>number: 2-0-20</v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>s_Rollover_3:</v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>s_Target_Adv_Bonus_Right_Top:</v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>number: 2-0-5</v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>number: 2-0-21</v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>s_Rollover_2:</v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>s_Target_Adv_Bonus_Left_Top:</v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>number: 2-0-6</v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>number: 2-0-22</v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>s_Rollover_1: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>s_Target_A:</v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2-0-7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>number: 2-0-23</v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c_Left_Bumper: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2-0-4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c_Right_Bumper: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2-0-5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c_Top_Bumper: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2-0-6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67A9DCCE-9BE2-44B2-B6D8-9CC4DDD9BAA6}">
      <formula1>$H$1:$H$3</formula1>
    </dataValidation>
    <dataValidation type="list" allowBlank="1" showInputMessage="1" showErrorMessage="1" sqref="B26" xr:uid="{A7706327-698A-48B1-B97C-C7C7057514DF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7685-1547-4D9E-A8A4-2342A43290B6}">
  <sheetPr codeName="Feuil4"/>
  <dimension ref="A1:K78"/>
  <sheetViews>
    <sheetView topLeftCell="A4" zoomScale="70" zoomScaleNormal="70" workbookViewId="0">
      <selection activeCell="E2" sqref="E2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3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136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137</v>
      </c>
      <c r="E13" s="5" t="s">
        <v>27</v>
      </c>
      <c r="F13" s="6"/>
      <c r="G13" s="7" t="s">
        <v>11</v>
      </c>
      <c r="H13" s="38" t="s">
        <v>135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138</v>
      </c>
      <c r="E14" s="5" t="s">
        <v>28</v>
      </c>
      <c r="F14" s="6"/>
      <c r="G14" s="7" t="s">
        <v>10</v>
      </c>
      <c r="H14" s="38" t="s">
        <v>133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139</v>
      </c>
      <c r="E15" s="5" t="s">
        <v>29</v>
      </c>
      <c r="F15" s="6"/>
      <c r="G15" s="7" t="s">
        <v>9</v>
      </c>
      <c r="H15" s="39" t="s">
        <v>134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s_Chime_1: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s_Start_button: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3-0-8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3-0-24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s_Chime_2: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s_Tilt_Plumb: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3-0-9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3-0-25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s_Chime_3: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s_Tilt_Roll: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3-0-10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3-0-26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s_Knocker: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3-0-11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c_Chime_1: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3-0-4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c_Chime_2: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3-0-5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c_Chime_3: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3-0-6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c_Knocker: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3-0-7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14F78B1F-B053-45D3-BFE4-E69C27820023}">
      <formula1>$H$1:$H$4</formula1>
    </dataValidation>
    <dataValidation type="list" allowBlank="1" showInputMessage="1" showErrorMessage="1" sqref="B27:B29" xr:uid="{72E52504-541D-4487-9DA5-CADF9BF35294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3455-C7AD-4CB6-BCEE-DEDA2BE98631}">
  <sheetPr codeName="Feuil5"/>
  <dimension ref="A1:K78"/>
  <sheetViews>
    <sheetView zoomScale="55" zoomScaleNormal="55" workbookViewId="0">
      <selection activeCell="D26" sqref="D26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4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SOLENOID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242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244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243</v>
      </c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245</v>
      </c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250</v>
      </c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251</v>
      </c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252</v>
      </c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253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213</v>
      </c>
    </row>
    <row r="29" spans="1:11" ht="15" thickBot="1" x14ac:dyDescent="0.35">
      <c r="A29" s="20" t="s">
        <v>43</v>
      </c>
      <c r="B29" s="43" t="s">
        <v>213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>s_score_1p_10:</v>
      </c>
      <c r="F33" t="s">
        <v>52</v>
      </c>
      <c r="G33" s="21" t="str">
        <f>IF(OR($B$29=$H$2,$B$29=$H$1),IF(ISBLANK(D13),"","s_"&amp;D13&amp;":"),"")</f>
        <v>s_score_3p_10: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>number: 4-0-16</v>
      </c>
      <c r="G34" s="21" t="s">
        <v>52</v>
      </c>
      <c r="H34" s="22" t="str">
        <f>IF(OR($B$29=$H$2,$B$29=$H$1),IF(ISBLANK(D13),"","number: "&amp;$E$2&amp;"-0-"&amp;C13),"")</f>
        <v>number: 4-0-24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>s_score_1p_100:</v>
      </c>
      <c r="F35" s="22" t="s">
        <v>52</v>
      </c>
      <c r="G35" s="21" t="str">
        <f>IF(OR($B$29=$H$2,$B$29=$H$1),IF(ISBLANK(D14),"","s_"&amp;D14&amp;":"),"")</f>
        <v>s_score_3p_100: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>number: 4-0-17</v>
      </c>
      <c r="G36" s="21" t="s">
        <v>52</v>
      </c>
      <c r="H36" s="22" t="str">
        <f>IF(OR($B$29=$H$2,$B$29=$H$1),IF(ISBLANK(D14),"","number: "&amp;$E$2&amp;"-0-"&amp;C14),"")</f>
        <v>number: 4-0-25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>s_score_1p_1k:</v>
      </c>
      <c r="F37" s="22" t="s">
        <v>52</v>
      </c>
      <c r="G37" s="21" t="str">
        <f>IF(OR($B$29=$H$2,$B$29=$H$1),IF(ISBLANK(D15),"","s_"&amp;D15&amp;":"),"")</f>
        <v>s_score_3p_1k: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>number: 4-0-18</v>
      </c>
      <c r="G38" s="21" t="s">
        <v>52</v>
      </c>
      <c r="H38" s="22" t="str">
        <f>IF(OR($B$29=$H$2,$B$29=$H$1),IF(ISBLANK(D15),"","number: "&amp;$E$2&amp;"-0-"&amp;C15),"")</f>
        <v>number: 4-0-26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>s_score_1p_10k:</v>
      </c>
      <c r="F39" s="22" t="s">
        <v>52</v>
      </c>
      <c r="G39" s="21" t="str">
        <f>IF(OR($B$29=$H$2,$B$29=$H$1),IF(ISBLANK(D16),"","s_"&amp;D16&amp;":"),"")</f>
        <v>s_score_3p_10k: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>number: 4-0-19</v>
      </c>
      <c r="G40" s="27" t="s">
        <v>52</v>
      </c>
      <c r="H40" s="22" t="str">
        <f>IF(OR($B$29=$H$2,$B$29=$H$1),IF(ISBLANK(D16),"","number: "&amp;$E$2&amp;"-0-"&amp;C16),"")</f>
        <v>number: 4-0-27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>c_score_1p_10:</v>
      </c>
      <c r="F52" s="22" t="s">
        <v>52</v>
      </c>
      <c r="G52" s="21" t="str">
        <f>IF($B$29=$H$1,IF(ISBLANK(D13),"","c_"&amp;D13&amp;":"),"")</f>
        <v>c_score_3p_10: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>number: 4-0-8</v>
      </c>
      <c r="G53" s="21" t="s">
        <v>52</v>
      </c>
      <c r="H53" s="22" t="str">
        <f>IF($B$29=$H$1,IF(ISBLANK(D13),"","number: "&amp;$E$2&amp;"-0-"&amp;A13),"")</f>
        <v>number: 4-0-12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>c_score_1p_100:</v>
      </c>
      <c r="F54" s="22" t="s">
        <v>52</v>
      </c>
      <c r="G54" s="21" t="str">
        <f>IF($B$29=$H$1,IF(ISBLANK(D14),"","c_"&amp;D14&amp;":"),"")</f>
        <v>c_score_3p_100: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>number: 4-0-9</v>
      </c>
      <c r="G55" s="21" t="s">
        <v>52</v>
      </c>
      <c r="H55" s="22" t="str">
        <f>IF($B$29=$H$1,IF(ISBLANK(D14),"","number: "&amp;$E$2&amp;"-0-"&amp;A14),"")</f>
        <v>number: 4-0-13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>c_score_1p_1k:</v>
      </c>
      <c r="F56" s="22" t="s">
        <v>52</v>
      </c>
      <c r="G56" s="21" t="str">
        <f>IF($B$29=$H$1,IF(ISBLANK(D15),"","c_"&amp;D15&amp;":"),"")</f>
        <v>c_score_3p_1k: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>number: 4-0-10</v>
      </c>
      <c r="G57" s="21" t="s">
        <v>52</v>
      </c>
      <c r="H57" s="22" t="str">
        <f>IF($B$29=$H$1,IF(ISBLANK(D15),"","number: "&amp;$E$2&amp;"-0-"&amp;A15),"")</f>
        <v>number: 4-0-14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>c_score_1p_10k:</v>
      </c>
      <c r="F58" s="22" t="s">
        <v>52</v>
      </c>
      <c r="G58" s="21" t="str">
        <f>IF($B$29=$H$1,IF(ISBLANK(D16),"","c_"&amp;D16&amp;":"),"")</f>
        <v>c_score_3p_10k: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>number: 4-0-11</v>
      </c>
      <c r="G59" s="23" t="s">
        <v>52</v>
      </c>
      <c r="H59" s="24" t="str">
        <f>IF($B$29=$H$1,IF(ISBLANK(D16),"","number: "&amp;$E$2&amp;"-0-"&amp;A16),"")</f>
        <v>number: 4-0-15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2FEC2262-76BA-44CA-A33A-F145B4BACB3D}">
      <formula1>$H$1:$H$3</formula1>
    </dataValidation>
    <dataValidation type="list" allowBlank="1" showInputMessage="1" showErrorMessage="1" sqref="B26" xr:uid="{4BE728BB-8506-4BCA-B49D-0DAF345D17E4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1FCF-40D8-480D-B650-179AB0118423}">
  <sheetPr codeName="Feuil6"/>
  <dimension ref="A1:K78"/>
  <sheetViews>
    <sheetView zoomScale="55" zoomScaleNormal="55" workbookViewId="0">
      <selection activeCell="D13" sqref="D13:D16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5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246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257</v>
      </c>
      <c r="E13" s="5" t="s">
        <v>27</v>
      </c>
      <c r="F13" s="6"/>
      <c r="G13" s="7" t="s">
        <v>11</v>
      </c>
      <c r="H13" s="38" t="s">
        <v>247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256</v>
      </c>
      <c r="E14" s="5" t="s">
        <v>28</v>
      </c>
      <c r="F14" s="6"/>
      <c r="G14" s="7" t="s">
        <v>10</v>
      </c>
      <c r="H14" s="38" t="s">
        <v>248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255</v>
      </c>
      <c r="E15" s="5" t="s">
        <v>29</v>
      </c>
      <c r="F15" s="6"/>
      <c r="G15" s="7" t="s">
        <v>9</v>
      </c>
      <c r="H15" s="39" t="s">
        <v>249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254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306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2" t="s">
        <v>306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s_score_2p_10: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s_score_4p_10: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5-0-8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5-0-24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s_score_2p_100: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s_score_4p_100: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5-0-9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5-0-25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s_score_2p_1k: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s_score_4p_1k: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5-0-10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5-0-26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s_score_2p_10k: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s_score_4p_10k: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5-0-11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5-0-27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c_score_2p_10: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>c_score_4p_10: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5-0-4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>number: 5-0-12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c_score_2p_100: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>c_score_4p_100: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5-0-5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>number: 5-0-13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c_score_2p_1k: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>c_score_4p_1k: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5-0-6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>number: 5-0-14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c_score_2p_10k: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>c_score_4p_10k: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5-0-7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>number: 5-0-15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02F5B36-8D21-4533-80E2-040C60667AAA}">
      <formula1>$H$1:$H$4</formula1>
    </dataValidation>
    <dataValidation type="list" allowBlank="1" showInputMessage="1" showErrorMessage="1" sqref="B27:B29" xr:uid="{6CE5835E-D989-488D-9923-81D3828EC9A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1A28-70C5-4C97-8E54-1C18DD44DE21}">
  <sheetPr codeName="Feuil7"/>
  <dimension ref="A1:K78"/>
  <sheetViews>
    <sheetView zoomScale="55" zoomScaleNormal="55" workbookViewId="0">
      <selection activeCell="D28" sqref="D28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6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INCANDESCENT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337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131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81</v>
      </c>
      <c r="E7" s="5" t="s">
        <v>21</v>
      </c>
      <c r="F7" s="6"/>
      <c r="G7" s="7" t="s">
        <v>17</v>
      </c>
      <c r="H7" s="12" t="str">
        <f>"WING 1 - "&amp;B27</f>
        <v>WING 1 - INCANDESCENT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336</v>
      </c>
      <c r="E8" s="5" t="s">
        <v>22</v>
      </c>
      <c r="F8" s="6"/>
      <c r="G8" s="7" t="s">
        <v>16</v>
      </c>
      <c r="H8" s="37" t="s">
        <v>124</v>
      </c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 t="s">
        <v>335</v>
      </c>
      <c r="E9" s="5" t="s">
        <v>23</v>
      </c>
      <c r="F9" s="6"/>
      <c r="G9" s="7" t="s">
        <v>15</v>
      </c>
      <c r="H9" s="38" t="s">
        <v>127</v>
      </c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 t="s">
        <v>334</v>
      </c>
      <c r="E10" s="5" t="s">
        <v>24</v>
      </c>
      <c r="F10" s="6"/>
      <c r="G10" s="7" t="s">
        <v>14</v>
      </c>
      <c r="H10" s="38" t="s">
        <v>129</v>
      </c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 t="s">
        <v>122</v>
      </c>
      <c r="E11" s="5" t="s">
        <v>25</v>
      </c>
      <c r="F11" s="6"/>
      <c r="G11" s="7" t="s">
        <v>13</v>
      </c>
      <c r="H11" s="38" t="s">
        <v>346</v>
      </c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 t="s">
        <v>79</v>
      </c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125</v>
      </c>
      <c r="E13" s="5" t="s">
        <v>27</v>
      </c>
      <c r="F13" s="6"/>
      <c r="G13" s="7" t="s">
        <v>11</v>
      </c>
      <c r="H13" s="38" t="s">
        <v>345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347</v>
      </c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121</v>
      </c>
      <c r="E15" s="5" t="s">
        <v>29</v>
      </c>
      <c r="F15" s="6"/>
      <c r="G15" s="7" t="s">
        <v>9</v>
      </c>
      <c r="H15" s="39" t="s">
        <v>128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84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83</v>
      </c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123</v>
      </c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82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 t="s">
        <v>120</v>
      </c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 t="s">
        <v>45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46</v>
      </c>
    </row>
    <row r="28" spans="1:11" x14ac:dyDescent="0.3">
      <c r="A28" s="19" t="s">
        <v>42</v>
      </c>
      <c r="B28" s="42" t="s">
        <v>46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>l_Right_Bumper:</v>
      </c>
      <c r="D63" s="31" t="s">
        <v>52</v>
      </c>
      <c r="E63" s="29" t="str">
        <f>IF($B$28=$H$3,IF(ISBLANK(D5),"","l_"&amp;D5&amp;":"),IF($B$28=D5,"lights:",""))</f>
        <v>l_EB_Lane:</v>
      </c>
      <c r="F63" s="31" t="s">
        <v>52</v>
      </c>
      <c r="G63" s="29" t="str">
        <f>IF($B$29=$H$3,IF(ISBLANK(D13),"","l_"&amp;D13&amp;":"),IF($B$29=D13,"lights:",""))</f>
        <v>l_Rollover_3:</v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>number: 6-0-8</v>
      </c>
      <c r="E64" s="21" t="s">
        <v>52</v>
      </c>
      <c r="F64" s="22" t="str">
        <f>IF($B$28=$H$3,IF(ISBLANK(D5),"","number: "&amp;$E$2&amp;"-0-"&amp;C5),"")</f>
        <v>number: 6-0-16</v>
      </c>
      <c r="G64" s="21" t="s">
        <v>52</v>
      </c>
      <c r="H64" s="22" t="str">
        <f>IF($B$29=$H$3,IF(ISBLANK(D13),"","number: "&amp;$E$2&amp;"-0-"&amp;C13),"")</f>
        <v>number: 6-0-24</v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>l_Lane_Top_Right:</v>
      </c>
      <c r="F65" s="22" t="s">
        <v>52</v>
      </c>
      <c r="G65" s="21" t="str">
        <f>IF($B$29=$H$3,IF(ISBLANK(D14),"","l_"&amp;D14&amp;":"),IF($B$29=D14,"lights:",""))</f>
        <v>l_Rollover_1000:</v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>number: 6-0-17</v>
      </c>
      <c r="G66" s="21" t="s">
        <v>52</v>
      </c>
      <c r="H66" s="22" t="str">
        <f>IF($B$29=$H$3,IF(ISBLANK(D14),"","number: "&amp;$E$2&amp;"-0-"&amp;C14),"")</f>
        <v>number: 6-0-25</v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>l_Triple_Bonus:</v>
      </c>
      <c r="D67" s="22" t="s">
        <v>52</v>
      </c>
      <c r="E67" s="21" t="str">
        <f>IF($B$28=$H$3,IF(ISBLANK(D7),"","l_"&amp;D7&amp;":"),IF($B$28=D7,"lights:",""))</f>
        <v>l_Rollover_8:</v>
      </c>
      <c r="F67" s="22" t="s">
        <v>52</v>
      </c>
      <c r="G67" s="21" t="str">
        <f>IF($B$29=$H$3,IF(ISBLANK(D15),"","l_"&amp;D15&amp;":"),IF($B$29=D15,"lights:",""))</f>
        <v>l_Rollover_5:</v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>number: 6-0-10</v>
      </c>
      <c r="E68" s="21" t="s">
        <v>52</v>
      </c>
      <c r="F68" s="22" t="str">
        <f>IF($B$28=$H$3,IF(ISBLANK(D7),"","number: "&amp;$E$2&amp;"-0-"&amp;C7),"")</f>
        <v>number: 6-0-18</v>
      </c>
      <c r="G68" s="21" t="s">
        <v>52</v>
      </c>
      <c r="H68" s="22" t="str">
        <f>IF($B$29=$H$3,IF(ISBLANK(D15),"","number: "&amp;$E$2&amp;"-0-"&amp;C15),"")</f>
        <v>number: 6-0-26</v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>l_Slinghshot_Right:</v>
      </c>
      <c r="F69" s="22" t="s">
        <v>52</v>
      </c>
      <c r="G69" s="21" t="str">
        <f>IF($B$29=$H$3,IF(ISBLANK(D16),"","l_"&amp;D16&amp;":"),IF($B$29=D16,"lights:",""))</f>
        <v>l_SPECIAL:</v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>number: 6-0-19</v>
      </c>
      <c r="G70" s="21" t="s">
        <v>52</v>
      </c>
      <c r="H70" s="22" t="str">
        <f>IF($B$29=$H$3,IF(ISBLANK(D16),"","number: "&amp;$E$2&amp;"-0-"&amp;C16),"")</f>
        <v>number: 6-0-27</v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>l_Double_Bonus:</v>
      </c>
      <c r="D71" s="22" t="s">
        <v>52</v>
      </c>
      <c r="E71" s="21" t="str">
        <f>IF($B$28=$H$3,IF(ISBLANK(D9),"","l_"&amp;D9&amp;":"),IF($B$28=D9,"lights:",""))</f>
        <v>l_SPECIAL_Lane_2:</v>
      </c>
      <c r="F71" s="22" t="s">
        <v>52</v>
      </c>
      <c r="G71" s="21" t="str">
        <f>IF($B$29=$H$3,IF(ISBLANK(D17),"","l_"&amp;D17&amp;":"),IF($B$29=D17,"lights:",""))</f>
        <v>l_Target_10:</v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>number: 6-0-12</v>
      </c>
      <c r="E72" s="21" t="s">
        <v>52</v>
      </c>
      <c r="F72" s="22" t="str">
        <f>IF($B$28=$H$3,IF(ISBLANK(D9),"","number: "&amp;$E$2&amp;"-0-"&amp;C9),"")</f>
        <v>number: 6-0-20</v>
      </c>
      <c r="G72" s="21" t="s">
        <v>52</v>
      </c>
      <c r="H72" s="22" t="str">
        <f>IF($B$29=$H$3,IF(ISBLANK(D17),"","number: "&amp;$E$2&amp;"-0-"&amp;C17),"")</f>
        <v>number: 6-0-28</v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>l_Top_Bumper:</v>
      </c>
      <c r="D73" s="22" t="s">
        <v>52</v>
      </c>
      <c r="E73" s="21" t="str">
        <f>IF($B$28=$H$3,IF(ISBLANK(D10),"","l_"&amp;D10&amp;":"),IF($B$28=D10,"lights:",""))</f>
        <v>l_EB:</v>
      </c>
      <c r="F73" s="22" t="s">
        <v>52</v>
      </c>
      <c r="G73" s="21" t="str">
        <f>IF($B$29=$H$3,IF(ISBLANK(D18),"","l_"&amp;D18&amp;":"),IF($B$29=D18,"lights:",""))</f>
        <v>l_Rollover_1:</v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>number: 6-0-13</v>
      </c>
      <c r="E74" s="21" t="s">
        <v>52</v>
      </c>
      <c r="F74" s="22" t="str">
        <f>IF($B$28=$H$3,IF(ISBLANK(D10),"","number: "&amp;$E$2&amp;"-0-"&amp;C10),"")</f>
        <v>number: 6-0-21</v>
      </c>
      <c r="G74" s="21" t="s">
        <v>52</v>
      </c>
      <c r="H74" s="22" t="str">
        <f>IF($B$29=$H$3,IF(ISBLANK(D18),"","number: "&amp;$E$2&amp;"-0-"&amp;C18),"")</f>
        <v>number: 6-0-29</v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>l_Left_Bumper:</v>
      </c>
      <c r="D75" s="22" t="s">
        <v>52</v>
      </c>
      <c r="E75" s="21" t="str">
        <f>IF($B$28=$H$3,IF(ISBLANK(D11),"","l_"&amp;D11&amp;":"),IF($B$28=D11,"lights:",""))</f>
        <v>l_Rollover_6:</v>
      </c>
      <c r="F75" s="22" t="s">
        <v>52</v>
      </c>
      <c r="G75" s="21" t="str">
        <f>IF($B$29=$H$3,IF(ISBLANK(D19),"","l_"&amp;D19&amp;":"),IF($B$29=D19,"lights:",""))</f>
        <v>l_Rollover_7:</v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>number: 6-0-14</v>
      </c>
      <c r="E76" s="21" t="s">
        <v>52</v>
      </c>
      <c r="F76" s="22" t="str">
        <f>IF($B$28=$H$3,IF(ISBLANK(D11),"","number: "&amp;$E$2&amp;"-0-"&amp;C11),"")</f>
        <v>number: 6-0-22</v>
      </c>
      <c r="G76" s="21" t="s">
        <v>52</v>
      </c>
      <c r="H76" s="22" t="str">
        <f>IF($B$29=$H$3,IF(ISBLANK(D19),"","number: "&amp;$E$2&amp;"-0-"&amp;C19),"")</f>
        <v>number: 6-0-30</v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>l_Rollover_2:</v>
      </c>
      <c r="D77" s="22" t="s">
        <v>52</v>
      </c>
      <c r="E77" s="21" t="str">
        <f>IF($B$28=$H$3,IF(ISBLANK(D12),"","l_"&amp;D12&amp;":"),IF($B$28=D12,"lights:",""))</f>
        <v>l_Rollover_9:</v>
      </c>
      <c r="F77" s="22" t="s">
        <v>52</v>
      </c>
      <c r="G77" s="21" t="str">
        <f>IF($B$29=$H$3,IF(ISBLANK(D20),"","l_"&amp;D20&amp;":"),IF($B$29=D20,"lights:",""))</f>
        <v>l_Rollover_4:</v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>number: 6-0-15</v>
      </c>
      <c r="E78" s="30" t="s">
        <v>52</v>
      </c>
      <c r="F78" s="24" t="str">
        <f>IF($B$28=$H$3,IF(ISBLANK(D12),"","number: "&amp;$E$2&amp;"-0-"&amp;C12),"")</f>
        <v>number: 6-0-23</v>
      </c>
      <c r="G78" s="30" t="s">
        <v>52</v>
      </c>
      <c r="H78" s="24" t="str">
        <f>IF($B$29=$H$3,IF(ISBLANK(D20),"","number: "&amp;$E$2&amp;"-0-"&amp;C20),"")</f>
        <v>number: 6-0-31</v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BAEBBA09-3835-4FDE-8D39-BFEACDACC7E4}">
      <formula1>$H$1:$H$3</formula1>
    </dataValidation>
    <dataValidation type="list" allowBlank="1" showInputMessage="1" showErrorMessage="1" sqref="B26" xr:uid="{987CE77E-BFB7-4A53-B3A7-2653D98039F0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B8A3D-A16C-460E-9058-E0D4828F649F}">
  <sheetPr codeName="Feuil8"/>
  <dimension ref="A1:K78"/>
  <sheetViews>
    <sheetView tabSelected="1" zoomScale="55" zoomScaleNormal="55" workbookViewId="0">
      <selection activeCell="H30" sqref="H30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7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INCANDESCENT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 t="s">
        <v>409</v>
      </c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 t="s">
        <v>410</v>
      </c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 t="s">
        <v>411</v>
      </c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412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415</v>
      </c>
      <c r="E13" s="5" t="s">
        <v>27</v>
      </c>
      <c r="F13" s="6"/>
      <c r="G13" s="7" t="s">
        <v>11</v>
      </c>
      <c r="H13" s="38" t="s">
        <v>413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416</v>
      </c>
      <c r="E14" s="5" t="s">
        <v>28</v>
      </c>
      <c r="F14" s="6"/>
      <c r="G14" s="7" t="s">
        <v>10</v>
      </c>
      <c r="H14" s="38" t="s">
        <v>414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417</v>
      </c>
      <c r="E15" s="5" t="s">
        <v>29</v>
      </c>
      <c r="F15" s="6"/>
      <c r="G15" s="7" t="s">
        <v>9</v>
      </c>
      <c r="H15" s="39" t="s">
        <v>408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418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419</v>
      </c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420</v>
      </c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421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46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>l_Backbox_Player1_score:</v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>l_Backbox_Ball1:</v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>number: 7-0-8</v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>number: 7-0-24</v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>l_Backbox_Player2_score:</v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>l_Backbox_Ball2:</v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>number: 7-0-9</v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>number: 7-0-25</v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>l_Backbox_Player3_score:</v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>l_Backbox_Ball3:</v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>number: 7-0-10</v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>number: 7-0-26</v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>l_Backbox_Player4_score:</v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>l_Backbox_Player1_turn:</v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>number: 7-0-11</v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>number: 7-0-27</v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>l_Backbox_TILT:</v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>l_Backbox_Player2_turn:</v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>number: 7-0-12</v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>number: 7-0-28</v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>l_Backbox_Game_over:</v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>l_Backbox_Player3_turn:</v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>number: 7-0-13</v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>number: 7-0-29</v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>l_Backbox_Extra_Ball:</v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>l_Backbox_Player4_turn:</v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>number: 7-0-14</v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>number: 7-0-30</v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BBFCB81-8C36-410B-8F42-791E4C98D36A}">
      <formula1>$H$1:$H$4</formula1>
    </dataValidation>
    <dataValidation type="list" allowBlank="1" showInputMessage="1" showErrorMessage="1" sqref="B27:B29" xr:uid="{5CD99ED9-F459-4ABB-B2ED-1FBD3B0AC601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B3DF-754D-426E-BC03-D316E1433DE7}">
  <sheetPr codeName="Feuil9"/>
  <dimension ref="A1:K78"/>
  <sheetViews>
    <sheetView zoomScale="55" zoomScaleNormal="55" workbookViewId="0">
      <selection activeCell="E3" sqref="E3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8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C75694BB-6B03-43EE-9F7B-E070DD29B530}">
      <formula1>$H$1:$H$3</formula1>
    </dataValidation>
    <dataValidation type="list" allowBlank="1" showInputMessage="1" showErrorMessage="1" sqref="B26" xr:uid="{2BC9A9B9-CC48-417A-BFE1-C5CC850181BC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1E6A4-5775-4169-B4FE-D89FF128EE88}">
  <sheetPr codeName="Feuil10"/>
  <dimension ref="A1:M514"/>
  <sheetViews>
    <sheetView topLeftCell="A78" workbookViewId="0">
      <selection activeCell="K96" sqref="K96"/>
    </sheetView>
  </sheetViews>
  <sheetFormatPr baseColWidth="10" defaultRowHeight="14.4" x14ac:dyDescent="0.3"/>
  <cols>
    <col min="1" max="1" width="9.33203125" bestFit="1" customWidth="1"/>
    <col min="2" max="2" width="4.5546875" bestFit="1" customWidth="1"/>
    <col min="3" max="3" width="14.44140625" bestFit="1" customWidth="1"/>
    <col min="13" max="13" width="22.886718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48</v>
      </c>
      <c r="E2" t="str">
        <f>A2</f>
        <v>switches:</v>
      </c>
      <c r="M2" t="s">
        <v>48</v>
      </c>
    </row>
    <row r="3" spans="1:13" x14ac:dyDescent="0.3">
      <c r="B3" t="str" cm="1">
        <f t="array" ref="B3:C18">'STM-card (1)'!A33:B48</f>
        <v/>
      </c>
      <c r="C3" t="str">
        <v xml:space="preserve"> </v>
      </c>
      <c r="E3" t="str">
        <f>IF((C3=" ")," "&amp;B3,"  "&amp;C3)</f>
        <v xml:space="preserve"> </v>
      </c>
      <c r="M3" t="s">
        <v>92</v>
      </c>
    </row>
    <row r="4" spans="1:13" x14ac:dyDescent="0.3">
      <c r="B4" t="str">
        <v xml:space="preserve"> </v>
      </c>
      <c r="C4" t="str">
        <v/>
      </c>
      <c r="E4" t="str">
        <f>IF((C4=" ")," "&amp;B4,"  "&amp;C4)</f>
        <v xml:space="preserve">  </v>
      </c>
      <c r="M4" t="s">
        <v>144</v>
      </c>
    </row>
    <row r="5" spans="1:13" x14ac:dyDescent="0.3">
      <c r="B5" t="str">
        <v>s_Target_J:</v>
      </c>
      <c r="C5" t="str">
        <v xml:space="preserve"> </v>
      </c>
      <c r="E5" t="str">
        <f t="shared" ref="E5:E68" si="0">IF((C5=" ")," "&amp;B5,"  "&amp;C5)</f>
        <v xml:space="preserve"> s_Target_J:</v>
      </c>
      <c r="M5" t="s">
        <v>93</v>
      </c>
    </row>
    <row r="6" spans="1:13" x14ac:dyDescent="0.3">
      <c r="B6" t="str">
        <v xml:space="preserve"> </v>
      </c>
      <c r="C6" t="str">
        <v>number: 1-0-1</v>
      </c>
      <c r="E6" t="str">
        <f t="shared" si="0"/>
        <v xml:space="preserve">  number: 1-0-1</v>
      </c>
      <c r="M6" t="s">
        <v>146</v>
      </c>
    </row>
    <row r="7" spans="1:13" x14ac:dyDescent="0.3">
      <c r="B7" t="str">
        <v>s_Target_Q:</v>
      </c>
      <c r="C7" t="str">
        <v xml:space="preserve"> </v>
      </c>
      <c r="E7" t="str">
        <f t="shared" si="0"/>
        <v xml:space="preserve"> s_Target_Q:</v>
      </c>
      <c r="M7" t="s">
        <v>94</v>
      </c>
    </row>
    <row r="8" spans="1:13" x14ac:dyDescent="0.3">
      <c r="B8" t="str">
        <v xml:space="preserve"> </v>
      </c>
      <c r="C8" t="str">
        <v>number: 1-0-2</v>
      </c>
      <c r="E8" t="str">
        <f t="shared" si="0"/>
        <v xml:space="preserve">  number: 1-0-2</v>
      </c>
      <c r="M8" t="s">
        <v>148</v>
      </c>
    </row>
    <row r="9" spans="1:13" x14ac:dyDescent="0.3">
      <c r="B9" t="str">
        <v>s_Target_K:</v>
      </c>
      <c r="C9" t="str">
        <v xml:space="preserve"> </v>
      </c>
      <c r="E9" t="str">
        <f t="shared" si="0"/>
        <v xml:space="preserve"> s_Target_K:</v>
      </c>
      <c r="M9" t="s">
        <v>140</v>
      </c>
    </row>
    <row r="10" spans="1:13" x14ac:dyDescent="0.3">
      <c r="B10" t="str">
        <v xml:space="preserve"> </v>
      </c>
      <c r="C10" t="str">
        <v>number: 1-0-3</v>
      </c>
      <c r="E10" t="str">
        <f t="shared" si="0"/>
        <v xml:space="preserve">  number: 1-0-3</v>
      </c>
      <c r="M10" t="s">
        <v>154</v>
      </c>
    </row>
    <row r="11" spans="1:13" x14ac:dyDescent="0.3">
      <c r="B11" t="str">
        <v xml:space="preserve"> </v>
      </c>
      <c r="C11" t="str">
        <v xml:space="preserve"> </v>
      </c>
      <c r="E11" t="str">
        <f t="shared" si="0"/>
        <v xml:space="preserve">  </v>
      </c>
      <c r="M11" t="s">
        <v>99</v>
      </c>
    </row>
    <row r="12" spans="1:13" x14ac:dyDescent="0.3">
      <c r="B12" t="str">
        <v xml:space="preserve"> </v>
      </c>
      <c r="C12" t="str">
        <v/>
      </c>
      <c r="E12" t="str">
        <f t="shared" si="0"/>
        <v xml:space="preserve">  </v>
      </c>
      <c r="M12" t="s">
        <v>156</v>
      </c>
    </row>
    <row r="13" spans="1:13" x14ac:dyDescent="0.3">
      <c r="B13" t="str">
        <v/>
      </c>
      <c r="C13" t="str">
        <v xml:space="preserve"> </v>
      </c>
      <c r="E13" t="str">
        <f t="shared" si="0"/>
        <v xml:space="preserve"> </v>
      </c>
      <c r="M13" t="s">
        <v>100</v>
      </c>
    </row>
    <row r="14" spans="1:13" x14ac:dyDescent="0.3">
      <c r="B14" t="str">
        <v xml:space="preserve"> </v>
      </c>
      <c r="C14" t="str">
        <v/>
      </c>
      <c r="E14" t="str">
        <f t="shared" si="0"/>
        <v xml:space="preserve">  </v>
      </c>
      <c r="M14" t="s">
        <v>158</v>
      </c>
    </row>
    <row r="15" spans="1:13" x14ac:dyDescent="0.3">
      <c r="B15" t="str">
        <v/>
      </c>
      <c r="C15" t="str">
        <v xml:space="preserve"> </v>
      </c>
      <c r="E15" t="str">
        <f t="shared" si="0"/>
        <v xml:space="preserve"> </v>
      </c>
      <c r="M15" t="s">
        <v>101</v>
      </c>
    </row>
    <row r="16" spans="1:13" x14ac:dyDescent="0.3">
      <c r="B16" t="str">
        <v xml:space="preserve"> </v>
      </c>
      <c r="C16" t="str">
        <v/>
      </c>
      <c r="E16" t="str">
        <f t="shared" si="0"/>
        <v xml:space="preserve">  </v>
      </c>
      <c r="M16" t="s">
        <v>160</v>
      </c>
    </row>
    <row r="17" spans="2:13" x14ac:dyDescent="0.3">
      <c r="B17" t="str">
        <v>s_Tilt_playfield:</v>
      </c>
      <c r="C17" t="str">
        <v xml:space="preserve"> </v>
      </c>
      <c r="E17" t="str">
        <f t="shared" si="0"/>
        <v xml:space="preserve"> s_Tilt_playfield:</v>
      </c>
      <c r="M17" t="s">
        <v>102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214</v>
      </c>
    </row>
    <row r="19" spans="2:13" x14ac:dyDescent="0.3">
      <c r="B19" t="str" cm="1">
        <f t="array" ref="B19:C34">'STM-card (1)'!C33:D48</f>
        <v>s_Flipper_Left_Bottom:</v>
      </c>
      <c r="C19" t="str">
        <v xml:space="preserve"> </v>
      </c>
      <c r="E19" t="str">
        <f t="shared" si="0"/>
        <v xml:space="preserve"> s_Flipper_Left_Bottom:</v>
      </c>
      <c r="M19" t="s">
        <v>103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162</v>
      </c>
    </row>
    <row r="21" spans="2:13" x14ac:dyDescent="0.3">
      <c r="B21" t="str">
        <v>s_Flipper_Left_Top:</v>
      </c>
      <c r="C21" t="str">
        <v xml:space="preserve"> </v>
      </c>
      <c r="E21" t="str">
        <f t="shared" si="0"/>
        <v xml:space="preserve"> s_Flipper_Left_Top:</v>
      </c>
      <c r="M21" t="s">
        <v>104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164</v>
      </c>
    </row>
    <row r="23" spans="2:13" x14ac:dyDescent="0.3">
      <c r="B23" t="str">
        <v>s_Flipper_Right_Bottom:</v>
      </c>
      <c r="C23" t="str">
        <v xml:space="preserve"> </v>
      </c>
      <c r="E23" t="str">
        <f t="shared" si="0"/>
        <v xml:space="preserve"> s_Flipper_Right_Bottom:</v>
      </c>
      <c r="M23" t="s">
        <v>215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166</v>
      </c>
    </row>
    <row r="25" spans="2:13" x14ac:dyDescent="0.3">
      <c r="B25" t="str">
        <v>s_Flipper_Right_Top:</v>
      </c>
      <c r="C25" t="str">
        <v xml:space="preserve"> </v>
      </c>
      <c r="E25" t="str">
        <f t="shared" si="0"/>
        <v xml:space="preserve"> s_Flipper_Right_Top:</v>
      </c>
      <c r="M25" t="s">
        <v>141</v>
      </c>
    </row>
    <row r="26" spans="2:13" x14ac:dyDescent="0.3">
      <c r="B26" t="str">
        <v xml:space="preserve"> </v>
      </c>
      <c r="C26" t="str">
        <v>number: 1-0-11</v>
      </c>
      <c r="E26" t="str">
        <f t="shared" si="0"/>
        <v xml:space="preserve">  number: 1-0-11</v>
      </c>
      <c r="M26" t="s">
        <v>216</v>
      </c>
    </row>
    <row r="27" spans="2:13" x14ac:dyDescent="0.3">
      <c r="B27" t="str">
        <v/>
      </c>
      <c r="C27" t="str">
        <v xml:space="preserve"> </v>
      </c>
      <c r="E27" t="str">
        <f t="shared" si="0"/>
        <v xml:space="preserve"> </v>
      </c>
      <c r="M27" t="s">
        <v>111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217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110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218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109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219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108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220</v>
      </c>
    </row>
    <row r="35" spans="2:13" x14ac:dyDescent="0.3">
      <c r="B35" t="str" cm="1">
        <f t="array" ref="B35:C50">'STM-card (1)'!E33:F48</f>
        <v>s_Slingshot_Left:</v>
      </c>
      <c r="C35" t="str">
        <v xml:space="preserve"> </v>
      </c>
      <c r="E35" t="str">
        <f t="shared" si="0"/>
        <v xml:space="preserve"> s_Slingshot_Left:</v>
      </c>
      <c r="M35" t="s">
        <v>107</v>
      </c>
    </row>
    <row r="36" spans="2:13" x14ac:dyDescent="0.3">
      <c r="B36" t="str">
        <v xml:space="preserve"> </v>
      </c>
      <c r="C36" t="str">
        <v>number: 1-0-16</v>
      </c>
      <c r="E36" t="str">
        <f t="shared" si="0"/>
        <v xml:space="preserve">  number: 1-0-16</v>
      </c>
      <c r="M36" t="s">
        <v>221</v>
      </c>
    </row>
    <row r="37" spans="2:13" x14ac:dyDescent="0.3">
      <c r="B37" t="str">
        <v>s_Slingshot_Right:</v>
      </c>
      <c r="C37" t="str">
        <v xml:space="preserve"> </v>
      </c>
      <c r="E37" t="str">
        <f t="shared" si="0"/>
        <v xml:space="preserve"> s_Slingshot_Right:</v>
      </c>
      <c r="M37" t="s">
        <v>106</v>
      </c>
    </row>
    <row r="38" spans="2:13" x14ac:dyDescent="0.3">
      <c r="B38" t="str">
        <v xml:space="preserve"> </v>
      </c>
      <c r="C38" t="str">
        <v>number: 1-0-17</v>
      </c>
      <c r="E38" t="str">
        <f t="shared" si="0"/>
        <v xml:space="preserve">  number: 1-0-17</v>
      </c>
      <c r="M38" t="s">
        <v>222</v>
      </c>
    </row>
    <row r="39" spans="2:13" x14ac:dyDescent="0.3">
      <c r="B39" t="str">
        <v>s_Drain:</v>
      </c>
      <c r="C39" t="str">
        <v xml:space="preserve"> </v>
      </c>
      <c r="E39" t="str">
        <f t="shared" si="0"/>
        <v xml:space="preserve"> s_Drain:</v>
      </c>
      <c r="M39" t="s">
        <v>105</v>
      </c>
    </row>
    <row r="40" spans="2:13" x14ac:dyDescent="0.3">
      <c r="B40" t="str">
        <v xml:space="preserve"> </v>
      </c>
      <c r="C40" t="str">
        <v>number: 1-0-18</v>
      </c>
      <c r="E40" t="str">
        <f t="shared" si="0"/>
        <v xml:space="preserve">  number: 1-0-18</v>
      </c>
      <c r="M40" t="s">
        <v>223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143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224</v>
      </c>
    </row>
    <row r="43" spans="2:13" x14ac:dyDescent="0.3">
      <c r="B43" t="str">
        <v/>
      </c>
      <c r="C43" t="str">
        <v xml:space="preserve"> </v>
      </c>
      <c r="E43" t="str">
        <f t="shared" si="0"/>
        <v xml:space="preserve"> </v>
      </c>
      <c r="M43" t="s">
        <v>145</v>
      </c>
    </row>
    <row r="44" spans="2:13" x14ac:dyDescent="0.3">
      <c r="B44" t="str">
        <v xml:space="preserve"> </v>
      </c>
      <c r="C44" t="str">
        <v/>
      </c>
      <c r="E44" t="str">
        <f t="shared" si="0"/>
        <v xml:space="preserve">  </v>
      </c>
      <c r="M44" t="s">
        <v>225</v>
      </c>
    </row>
    <row r="45" spans="2:13" x14ac:dyDescent="0.3">
      <c r="B45" t="str">
        <v/>
      </c>
      <c r="C45" t="str">
        <v xml:space="preserve"> </v>
      </c>
      <c r="E45" t="str">
        <f t="shared" si="0"/>
        <v xml:space="preserve"> </v>
      </c>
      <c r="M45" t="s">
        <v>147</v>
      </c>
    </row>
    <row r="46" spans="2:13" x14ac:dyDescent="0.3">
      <c r="B46" t="str">
        <v xml:space="preserve"> </v>
      </c>
      <c r="C46" t="str">
        <v/>
      </c>
      <c r="E46" t="str">
        <f t="shared" si="0"/>
        <v xml:space="preserve">  </v>
      </c>
      <c r="M46" t="s">
        <v>226</v>
      </c>
    </row>
    <row r="47" spans="2:13" x14ac:dyDescent="0.3">
      <c r="B47" t="str">
        <v/>
      </c>
      <c r="C47" t="str">
        <v xml:space="preserve"> </v>
      </c>
      <c r="E47" t="str">
        <f t="shared" si="0"/>
        <v xml:space="preserve"> </v>
      </c>
      <c r="M47" t="s">
        <v>149</v>
      </c>
    </row>
    <row r="48" spans="2:13" x14ac:dyDescent="0.3">
      <c r="B48" t="str">
        <v xml:space="preserve"> </v>
      </c>
      <c r="C48" t="str">
        <v/>
      </c>
      <c r="E48" t="str">
        <f t="shared" si="0"/>
        <v xml:space="preserve">  </v>
      </c>
      <c r="M48" t="s">
        <v>186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151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188</v>
      </c>
    </row>
    <row r="51" spans="2:13" x14ac:dyDescent="0.3">
      <c r="B51" t="str" cm="1">
        <f t="array" ref="B51:C66">'STM-card (1)'!G33:H48</f>
        <v>s_Outlane_Left:</v>
      </c>
      <c r="C51" t="str">
        <v xml:space="preserve"> </v>
      </c>
      <c r="E51" t="str">
        <f t="shared" si="0"/>
        <v xml:space="preserve"> s_Outlane_Left:</v>
      </c>
      <c r="M51" t="s">
        <v>153</v>
      </c>
    </row>
    <row r="52" spans="2:13" x14ac:dyDescent="0.3">
      <c r="B52" t="str">
        <v xml:space="preserve"> </v>
      </c>
      <c r="C52" t="str">
        <v>number: 1-0-24</v>
      </c>
      <c r="E52" t="str">
        <f t="shared" si="0"/>
        <v xml:space="preserve">  number: 1-0-24</v>
      </c>
      <c r="M52" t="s">
        <v>190</v>
      </c>
    </row>
    <row r="53" spans="2:13" x14ac:dyDescent="0.3">
      <c r="B53" t="str">
        <v>s_Target_Adv_Bonus_Left_Bottom:</v>
      </c>
      <c r="C53" t="str">
        <v xml:space="preserve"> </v>
      </c>
      <c r="E53" t="str">
        <f t="shared" si="0"/>
        <v xml:space="preserve"> s_Target_Adv_Bonus_Left_Bottom:</v>
      </c>
      <c r="M53" t="s">
        <v>155</v>
      </c>
    </row>
    <row r="54" spans="2:13" x14ac:dyDescent="0.3">
      <c r="B54" t="str">
        <v xml:space="preserve"> </v>
      </c>
      <c r="C54" t="str">
        <v>number: 1-0-25</v>
      </c>
      <c r="E54" t="str">
        <f t="shared" si="0"/>
        <v xml:space="preserve">  number: 1-0-25</v>
      </c>
      <c r="M54" t="s">
        <v>168</v>
      </c>
    </row>
    <row r="55" spans="2:13" x14ac:dyDescent="0.3">
      <c r="B55" t="str">
        <v>s_Target_10:</v>
      </c>
      <c r="C55" t="str">
        <v xml:space="preserve"> </v>
      </c>
      <c r="E55" t="str">
        <f t="shared" si="0"/>
        <v xml:space="preserve"> s_Target_10:</v>
      </c>
      <c r="M55" t="s">
        <v>157</v>
      </c>
    </row>
    <row r="56" spans="2:13" x14ac:dyDescent="0.3">
      <c r="B56" t="str">
        <v xml:space="preserve"> </v>
      </c>
      <c r="C56" t="str">
        <v>number: 1-0-26</v>
      </c>
      <c r="E56" t="str">
        <f t="shared" si="0"/>
        <v xml:space="preserve">  number: 1-0-26</v>
      </c>
      <c r="M56" t="s">
        <v>170</v>
      </c>
    </row>
    <row r="57" spans="2:13" x14ac:dyDescent="0.3">
      <c r="B57" t="str">
        <v>s_Rollover_7:</v>
      </c>
      <c r="C57" t="str">
        <v xml:space="preserve"> </v>
      </c>
      <c r="E57" t="str">
        <f t="shared" si="0"/>
        <v xml:space="preserve"> s_Rollover_7:</v>
      </c>
      <c r="M57" t="s">
        <v>159</v>
      </c>
    </row>
    <row r="58" spans="2:13" x14ac:dyDescent="0.3">
      <c r="B58" t="str">
        <v xml:space="preserve"> </v>
      </c>
      <c r="C58" t="str">
        <v>number: 1-0-27</v>
      </c>
      <c r="E58" t="str">
        <f t="shared" si="0"/>
        <v xml:space="preserve">  number: 1-0-27</v>
      </c>
      <c r="M58" t="s">
        <v>172</v>
      </c>
    </row>
    <row r="59" spans="2:13" x14ac:dyDescent="0.3">
      <c r="B59" t="str">
        <v>s_Rollover_8:</v>
      </c>
      <c r="C59" t="str">
        <v xml:space="preserve"> </v>
      </c>
      <c r="E59" t="str">
        <f t="shared" si="0"/>
        <v xml:space="preserve"> s_Rollover_8:</v>
      </c>
      <c r="M59" t="s">
        <v>96</v>
      </c>
    </row>
    <row r="60" spans="2:13" x14ac:dyDescent="0.3">
      <c r="B60" t="str">
        <v xml:space="preserve"> </v>
      </c>
      <c r="C60" t="str">
        <v>number: 1-0-28</v>
      </c>
      <c r="E60" t="str">
        <f t="shared" si="0"/>
        <v xml:space="preserve">  number: 1-0-28</v>
      </c>
      <c r="M60" t="s">
        <v>227</v>
      </c>
    </row>
    <row r="61" spans="2:13" x14ac:dyDescent="0.3">
      <c r="B61" t="str">
        <v>s_Rollover_9:</v>
      </c>
      <c r="C61" t="str">
        <v xml:space="preserve"> </v>
      </c>
      <c r="E61" t="str">
        <f t="shared" si="0"/>
        <v xml:space="preserve"> s_Rollover_9:</v>
      </c>
      <c r="M61" t="s">
        <v>161</v>
      </c>
    </row>
    <row r="62" spans="2:13" x14ac:dyDescent="0.3">
      <c r="B62" t="str">
        <v xml:space="preserve"> </v>
      </c>
      <c r="C62" t="str">
        <v>number: 1-0-29</v>
      </c>
      <c r="E62" t="str">
        <f t="shared" si="0"/>
        <v xml:space="preserve">  number: 1-0-29</v>
      </c>
      <c r="M62" t="s">
        <v>228</v>
      </c>
    </row>
    <row r="63" spans="2:13" x14ac:dyDescent="0.3">
      <c r="B63" t="str">
        <v>s_Inlane_Bottom:</v>
      </c>
      <c r="C63" t="str">
        <v xml:space="preserve"> </v>
      </c>
      <c r="E63" t="str">
        <f t="shared" si="0"/>
        <v xml:space="preserve"> s_Inlane_Bottom:</v>
      </c>
      <c r="M63" t="s">
        <v>163</v>
      </c>
    </row>
    <row r="64" spans="2:13" x14ac:dyDescent="0.3">
      <c r="B64" t="str">
        <v xml:space="preserve"> </v>
      </c>
      <c r="C64" t="str">
        <v>number: 1-0-30</v>
      </c>
      <c r="E64" t="str">
        <f t="shared" si="0"/>
        <v xml:space="preserve">  number: 1-0-30</v>
      </c>
      <c r="M64" t="s">
        <v>229</v>
      </c>
    </row>
    <row r="65" spans="2:13" x14ac:dyDescent="0.3">
      <c r="B65" t="str">
        <v>s_Outlane_Right:</v>
      </c>
      <c r="C65" t="str">
        <v xml:space="preserve"> </v>
      </c>
      <c r="E65" t="str">
        <f t="shared" si="0"/>
        <v xml:space="preserve"> s_Outlane_Right:</v>
      </c>
      <c r="M65" t="s">
        <v>165</v>
      </c>
    </row>
    <row r="66" spans="2:13" x14ac:dyDescent="0.3">
      <c r="B66" t="str">
        <v xml:space="preserve"> </v>
      </c>
      <c r="C66" t="str">
        <v>number: 1-0-31</v>
      </c>
      <c r="E66" t="str">
        <f t="shared" si="0"/>
        <v xml:space="preserve">  number: 1-0-31</v>
      </c>
      <c r="M66" t="s">
        <v>230</v>
      </c>
    </row>
    <row r="67" spans="2:13" x14ac:dyDescent="0.3">
      <c r="B67" t="str" cm="1">
        <f t="array" ref="B67:C82">'STM-card (2)'!A33:B48</f>
        <v/>
      </c>
      <c r="C67" t="str">
        <v xml:space="preserve"> </v>
      </c>
      <c r="E67" t="str">
        <f t="shared" si="0"/>
        <v xml:space="preserve"> </v>
      </c>
      <c r="M67" t="s">
        <v>98</v>
      </c>
    </row>
    <row r="68" spans="2:13" x14ac:dyDescent="0.3">
      <c r="B68" t="str">
        <v xml:space="preserve"> </v>
      </c>
      <c r="C68" t="str">
        <v/>
      </c>
      <c r="E68" t="str">
        <f t="shared" si="0"/>
        <v xml:space="preserve">  </v>
      </c>
      <c r="M68" t="s">
        <v>231</v>
      </c>
    </row>
    <row r="69" spans="2:13" x14ac:dyDescent="0.3">
      <c r="B69" t="str">
        <v>s_Rollover_6:</v>
      </c>
      <c r="C69" t="str">
        <v xml:space="preserve"> </v>
      </c>
      <c r="E69" t="str">
        <f t="shared" ref="E69:E132" si="1">IF((C69=" ")," "&amp;B69,"  "&amp;C69)</f>
        <v xml:space="preserve"> s_Rollover_6:</v>
      </c>
      <c r="M69" t="s">
        <v>142</v>
      </c>
    </row>
    <row r="70" spans="2:13" x14ac:dyDescent="0.3">
      <c r="B70" t="str">
        <v xml:space="preserve"> </v>
      </c>
      <c r="C70" t="str">
        <v>number: 2-0-1</v>
      </c>
      <c r="E70" t="str">
        <f t="shared" si="1"/>
        <v xml:space="preserve">  number: 2-0-1</v>
      </c>
      <c r="M70" t="s">
        <v>232</v>
      </c>
    </row>
    <row r="71" spans="2:13" x14ac:dyDescent="0.3">
      <c r="B71" t="str">
        <v>s_Rollover_5:</v>
      </c>
      <c r="C71" t="str">
        <v xml:space="preserve"> </v>
      </c>
      <c r="E71" t="str">
        <f t="shared" si="1"/>
        <v xml:space="preserve"> s_Rollover_5:</v>
      </c>
      <c r="M71" t="s">
        <v>97</v>
      </c>
    </row>
    <row r="72" spans="2:13" x14ac:dyDescent="0.3">
      <c r="B72" t="str">
        <v xml:space="preserve"> </v>
      </c>
      <c r="C72" t="str">
        <v>number: 2-0-2</v>
      </c>
      <c r="E72" t="str">
        <f t="shared" si="1"/>
        <v xml:space="preserve">  number: 2-0-2</v>
      </c>
      <c r="M72" t="s">
        <v>233</v>
      </c>
    </row>
    <row r="73" spans="2:13" x14ac:dyDescent="0.3">
      <c r="B73" t="str">
        <v>s_Rollover_4:</v>
      </c>
      <c r="C73" t="str">
        <v xml:space="preserve"> </v>
      </c>
      <c r="E73" t="str">
        <f t="shared" si="1"/>
        <v xml:space="preserve"> s_Rollover_4:</v>
      </c>
      <c r="M73" t="s">
        <v>95</v>
      </c>
    </row>
    <row r="74" spans="2:13" x14ac:dyDescent="0.3">
      <c r="B74" t="str">
        <v xml:space="preserve"> </v>
      </c>
      <c r="C74" t="str">
        <v>number: 2-0-3</v>
      </c>
      <c r="E74" t="str">
        <f t="shared" si="1"/>
        <v xml:space="preserve">  number: 2-0-3</v>
      </c>
      <c r="M74" t="s">
        <v>234</v>
      </c>
    </row>
    <row r="75" spans="2:13" x14ac:dyDescent="0.3">
      <c r="B75" t="str">
        <v xml:space="preserve"> </v>
      </c>
      <c r="C75" t="str">
        <v xml:space="preserve"> </v>
      </c>
      <c r="E75" t="str">
        <f t="shared" si="1"/>
        <v xml:space="preserve">  </v>
      </c>
      <c r="M75" t="s">
        <v>167</v>
      </c>
    </row>
    <row r="76" spans="2:13" x14ac:dyDescent="0.3">
      <c r="B76" t="str">
        <v xml:space="preserve"> </v>
      </c>
      <c r="C76" t="str">
        <v/>
      </c>
      <c r="E76" t="str">
        <f t="shared" si="1"/>
        <v xml:space="preserve">  </v>
      </c>
      <c r="M76" t="s">
        <v>235</v>
      </c>
    </row>
    <row r="77" spans="2:13" x14ac:dyDescent="0.3">
      <c r="B77" t="str">
        <v>s_Rollover_3:</v>
      </c>
      <c r="C77" t="str">
        <v xml:space="preserve"> </v>
      </c>
      <c r="E77" t="str">
        <f t="shared" si="1"/>
        <v xml:space="preserve"> s_Rollover_3:</v>
      </c>
      <c r="M77" t="s">
        <v>169</v>
      </c>
    </row>
    <row r="78" spans="2:13" x14ac:dyDescent="0.3">
      <c r="B78" t="str">
        <v xml:space="preserve"> </v>
      </c>
      <c r="C78" t="str">
        <v>number: 2-0-5</v>
      </c>
      <c r="E78" t="str">
        <f t="shared" si="1"/>
        <v xml:space="preserve">  number: 2-0-5</v>
      </c>
      <c r="M78" t="s">
        <v>236</v>
      </c>
    </row>
    <row r="79" spans="2:13" x14ac:dyDescent="0.3">
      <c r="B79" t="str">
        <v>s_Rollover_2:</v>
      </c>
      <c r="C79" t="str">
        <v xml:space="preserve"> </v>
      </c>
      <c r="E79" t="str">
        <f t="shared" si="1"/>
        <v xml:space="preserve"> s_Rollover_2:</v>
      </c>
      <c r="M79" t="s">
        <v>171</v>
      </c>
    </row>
    <row r="80" spans="2:13" x14ac:dyDescent="0.3">
      <c r="B80" t="str">
        <v xml:space="preserve"> </v>
      </c>
      <c r="C80" t="str">
        <v>number: 2-0-6</v>
      </c>
      <c r="E80" t="str">
        <f t="shared" si="1"/>
        <v xml:space="preserve">  number: 2-0-6</v>
      </c>
      <c r="M80" t="s">
        <v>237</v>
      </c>
    </row>
    <row r="81" spans="2:13" x14ac:dyDescent="0.3">
      <c r="B81" t="str">
        <v>s_Rollover_1:</v>
      </c>
      <c r="C81" t="str">
        <v xml:space="preserve"> </v>
      </c>
      <c r="E81" t="str">
        <f t="shared" si="1"/>
        <v xml:space="preserve"> s_Rollover_1:</v>
      </c>
      <c r="M81" t="s">
        <v>173</v>
      </c>
    </row>
    <row r="82" spans="2:13" x14ac:dyDescent="0.3">
      <c r="B82" t="str">
        <v xml:space="preserve"> </v>
      </c>
      <c r="C82" t="str">
        <v>number: 2-0-7</v>
      </c>
      <c r="E82" t="str">
        <f t="shared" si="1"/>
        <v xml:space="preserve">  number: 2-0-7</v>
      </c>
      <c r="M82" t="s">
        <v>238</v>
      </c>
    </row>
    <row r="83" spans="2:13" x14ac:dyDescent="0.3">
      <c r="B83" t="str" cm="1">
        <f t="array" ref="B83:C98">'STM-card (2)'!C33:D48</f>
        <v>s_Left_Bumper:</v>
      </c>
      <c r="C83" t="str">
        <v xml:space="preserve"> </v>
      </c>
      <c r="E83" t="str">
        <f t="shared" si="1"/>
        <v xml:space="preserve"> s_Left_Bumper:</v>
      </c>
      <c r="M83" t="s">
        <v>174</v>
      </c>
    </row>
    <row r="84" spans="2:13" x14ac:dyDescent="0.3">
      <c r="B84" t="str">
        <v xml:space="preserve"> </v>
      </c>
      <c r="C84" t="str">
        <v>number: 2-0-8</v>
      </c>
      <c r="E84" t="str">
        <f t="shared" si="1"/>
        <v xml:space="preserve">  number: 2-0-8</v>
      </c>
      <c r="M84" t="s">
        <v>239</v>
      </c>
    </row>
    <row r="85" spans="2:13" x14ac:dyDescent="0.3">
      <c r="B85" t="str">
        <v>s_Right_Bumper:</v>
      </c>
      <c r="C85" t="str">
        <v xml:space="preserve"> </v>
      </c>
      <c r="E85" t="str">
        <f t="shared" si="1"/>
        <v xml:space="preserve"> s_Right_Bumper:</v>
      </c>
      <c r="M85" t="s">
        <v>175</v>
      </c>
    </row>
    <row r="86" spans="2:13" x14ac:dyDescent="0.3">
      <c r="B86" t="str">
        <v xml:space="preserve"> </v>
      </c>
      <c r="C86" t="str">
        <v>number: 2-0-9</v>
      </c>
      <c r="E86" t="str">
        <f t="shared" si="1"/>
        <v xml:space="preserve">  number: 2-0-9</v>
      </c>
      <c r="M86" t="s">
        <v>240</v>
      </c>
    </row>
    <row r="87" spans="2:13" x14ac:dyDescent="0.3">
      <c r="B87" t="str">
        <v>s_Top_Bumper:</v>
      </c>
      <c r="C87" t="str">
        <v xml:space="preserve"> </v>
      </c>
      <c r="E87" t="str">
        <f t="shared" si="1"/>
        <v xml:space="preserve"> s_Top_Bumper:</v>
      </c>
      <c r="M87" t="s">
        <v>176</v>
      </c>
    </row>
    <row r="88" spans="2:13" x14ac:dyDescent="0.3">
      <c r="B88" t="str">
        <v xml:space="preserve"> </v>
      </c>
      <c r="C88" t="str">
        <v>number: 2-0-10</v>
      </c>
      <c r="E88" t="str">
        <f t="shared" si="1"/>
        <v xml:space="preserve">  number: 2-0-10</v>
      </c>
      <c r="M88" t="s">
        <v>241</v>
      </c>
    </row>
    <row r="89" spans="2:13" x14ac:dyDescent="0.3">
      <c r="B89" t="str">
        <v/>
      </c>
      <c r="C89" t="str">
        <v xml:space="preserve"> </v>
      </c>
      <c r="E89" t="str">
        <f t="shared" si="1"/>
        <v xml:space="preserve"> </v>
      </c>
      <c r="M89" t="s">
        <v>258</v>
      </c>
    </row>
    <row r="90" spans="2:13" x14ac:dyDescent="0.3">
      <c r="B90" t="str">
        <v xml:space="preserve"> </v>
      </c>
      <c r="C90" t="str">
        <v/>
      </c>
      <c r="E90" t="str">
        <f t="shared" si="1"/>
        <v xml:space="preserve">  </v>
      </c>
      <c r="M90" t="s">
        <v>323</v>
      </c>
    </row>
    <row r="91" spans="2:13" x14ac:dyDescent="0.3">
      <c r="B91" t="str">
        <v/>
      </c>
      <c r="C91" t="str">
        <v xml:space="preserve"> </v>
      </c>
      <c r="E91" t="str">
        <f t="shared" si="1"/>
        <v xml:space="preserve"> </v>
      </c>
      <c r="M91" t="s">
        <v>260</v>
      </c>
    </row>
    <row r="92" spans="2:13" x14ac:dyDescent="0.3">
      <c r="B92" t="str">
        <v xml:space="preserve"> </v>
      </c>
      <c r="C92" t="str">
        <v/>
      </c>
      <c r="E92" t="str">
        <f t="shared" si="1"/>
        <v xml:space="preserve">  </v>
      </c>
      <c r="M92" t="s">
        <v>324</v>
      </c>
    </row>
    <row r="93" spans="2:13" x14ac:dyDescent="0.3">
      <c r="B93" t="str">
        <v/>
      </c>
      <c r="C93" t="str">
        <v xml:space="preserve"> </v>
      </c>
      <c r="E93" t="str">
        <f t="shared" si="1"/>
        <v xml:space="preserve"> </v>
      </c>
      <c r="M93" t="s">
        <v>262</v>
      </c>
    </row>
    <row r="94" spans="2:13" x14ac:dyDescent="0.3">
      <c r="B94" t="str">
        <v xml:space="preserve"> </v>
      </c>
      <c r="C94" t="str">
        <v/>
      </c>
      <c r="E94" t="str">
        <f t="shared" si="1"/>
        <v xml:space="preserve">  </v>
      </c>
      <c r="M94" t="s">
        <v>325</v>
      </c>
    </row>
    <row r="95" spans="2:13" x14ac:dyDescent="0.3">
      <c r="B95" t="str">
        <v/>
      </c>
      <c r="C95" t="str">
        <v xml:space="preserve"> </v>
      </c>
      <c r="E95" t="str">
        <f t="shared" si="1"/>
        <v xml:space="preserve"> </v>
      </c>
      <c r="M95" t="s">
        <v>264</v>
      </c>
    </row>
    <row r="96" spans="2:13" x14ac:dyDescent="0.3">
      <c r="B96" t="str">
        <v xml:space="preserve"> </v>
      </c>
      <c r="C96" t="str">
        <v/>
      </c>
      <c r="E96" t="str">
        <f t="shared" si="1"/>
        <v xml:space="preserve">  </v>
      </c>
      <c r="M96" t="s">
        <v>326</v>
      </c>
    </row>
    <row r="97" spans="2:13" x14ac:dyDescent="0.3">
      <c r="B97" t="str">
        <v/>
      </c>
      <c r="C97" t="str">
        <v xml:space="preserve"> </v>
      </c>
      <c r="E97" t="str">
        <f t="shared" si="1"/>
        <v xml:space="preserve"> </v>
      </c>
      <c r="M97" t="s">
        <v>282</v>
      </c>
    </row>
    <row r="98" spans="2:13" x14ac:dyDescent="0.3">
      <c r="B98" t="str">
        <v xml:space="preserve"> </v>
      </c>
      <c r="C98" t="str">
        <v/>
      </c>
      <c r="E98" t="str">
        <f t="shared" si="1"/>
        <v xml:space="preserve">  </v>
      </c>
      <c r="M98" t="s">
        <v>267</v>
      </c>
    </row>
    <row r="99" spans="2:13" x14ac:dyDescent="0.3">
      <c r="B99" t="str" cm="1">
        <f t="array" ref="B99:C114">'STM-card (2)'!E33:F48</f>
        <v>s_Target_1000:</v>
      </c>
      <c r="C99" t="str">
        <v xml:space="preserve"> </v>
      </c>
      <c r="E99" t="str">
        <f t="shared" si="1"/>
        <v xml:space="preserve"> s_Target_1000:</v>
      </c>
      <c r="M99" t="s">
        <v>284</v>
      </c>
    </row>
    <row r="100" spans="2:13" x14ac:dyDescent="0.3">
      <c r="B100" t="str">
        <v xml:space="preserve"> </v>
      </c>
      <c r="C100" t="str">
        <v>number: 2-0-16</v>
      </c>
      <c r="E100" t="str">
        <f t="shared" si="1"/>
        <v xml:space="preserve">  number: 2-0-16</v>
      </c>
      <c r="M100" t="s">
        <v>269</v>
      </c>
    </row>
    <row r="101" spans="2:13" x14ac:dyDescent="0.3">
      <c r="B101" t="str">
        <v>s_Lane_Top_Left:</v>
      </c>
      <c r="C101" t="str">
        <v xml:space="preserve"> </v>
      </c>
      <c r="E101" t="str">
        <f t="shared" si="1"/>
        <v xml:space="preserve"> s_Lane_Top_Left:</v>
      </c>
      <c r="M101" t="s">
        <v>286</v>
      </c>
    </row>
    <row r="102" spans="2:13" x14ac:dyDescent="0.3">
      <c r="B102" t="str">
        <v xml:space="preserve"> </v>
      </c>
      <c r="C102" t="str">
        <v>number: 2-0-17</v>
      </c>
      <c r="E102" t="str">
        <f t="shared" si="1"/>
        <v xml:space="preserve">  number: 2-0-17</v>
      </c>
      <c r="M102" t="s">
        <v>271</v>
      </c>
    </row>
    <row r="103" spans="2:13" x14ac:dyDescent="0.3">
      <c r="B103" t="str">
        <v>s_Lane_Top_Right:</v>
      </c>
      <c r="C103" t="str">
        <v xml:space="preserve"> </v>
      </c>
      <c r="E103" t="str">
        <f t="shared" si="1"/>
        <v xml:space="preserve"> s_Lane_Top_Right:</v>
      </c>
      <c r="M103" t="s">
        <v>288</v>
      </c>
    </row>
    <row r="104" spans="2:13" x14ac:dyDescent="0.3">
      <c r="B104" t="str">
        <v xml:space="preserve"> </v>
      </c>
      <c r="C104" t="str">
        <v>number: 2-0-18</v>
      </c>
      <c r="E104" t="str">
        <f t="shared" si="1"/>
        <v xml:space="preserve">  number: 2-0-18</v>
      </c>
      <c r="M104" t="s">
        <v>273</v>
      </c>
    </row>
    <row r="105" spans="2:13" x14ac:dyDescent="0.3">
      <c r="B105" t="str">
        <v>s_Rollover_1000:</v>
      </c>
      <c r="C105" t="str">
        <v xml:space="preserve"> </v>
      </c>
      <c r="E105" t="str">
        <f t="shared" si="1"/>
        <v xml:space="preserve"> s_Rollover_1000:</v>
      </c>
      <c r="M105" t="s">
        <v>266</v>
      </c>
    </row>
    <row r="106" spans="2:13" x14ac:dyDescent="0.3">
      <c r="B106" t="str">
        <v xml:space="preserve"> </v>
      </c>
      <c r="C106" t="str">
        <v>number: 2-0-19</v>
      </c>
      <c r="E106" t="str">
        <f t="shared" si="1"/>
        <v xml:space="preserve">  number: 2-0-19</v>
      </c>
      <c r="M106" t="s">
        <v>275</v>
      </c>
    </row>
    <row r="107" spans="2:13" x14ac:dyDescent="0.3">
      <c r="B107" t="str">
        <v>s_SPECIAL:</v>
      </c>
      <c r="C107" t="str">
        <v xml:space="preserve"> </v>
      </c>
      <c r="E107" t="str">
        <f t="shared" si="1"/>
        <v xml:space="preserve"> s_SPECIAL:</v>
      </c>
      <c r="M107" t="s">
        <v>268</v>
      </c>
    </row>
    <row r="108" spans="2:13" x14ac:dyDescent="0.3">
      <c r="B108" t="str">
        <v xml:space="preserve"> </v>
      </c>
      <c r="C108" t="str">
        <v>number: 2-0-20</v>
      </c>
      <c r="E108" t="str">
        <f t="shared" si="1"/>
        <v xml:space="preserve">  number: 2-0-20</v>
      </c>
      <c r="M108" t="s">
        <v>277</v>
      </c>
    </row>
    <row r="109" spans="2:13" x14ac:dyDescent="0.3">
      <c r="B109" t="str">
        <v>s_Target_Adv_Bonus_Right_Top:</v>
      </c>
      <c r="C109" t="str">
        <v xml:space="preserve"> </v>
      </c>
      <c r="E109" t="str">
        <f t="shared" si="1"/>
        <v xml:space="preserve"> s_Target_Adv_Bonus_Right_Top:</v>
      </c>
      <c r="M109" t="s">
        <v>270</v>
      </c>
    </row>
    <row r="110" spans="2:13" x14ac:dyDescent="0.3">
      <c r="B110" t="str">
        <v xml:space="preserve"> </v>
      </c>
      <c r="C110" t="str">
        <v>number: 2-0-21</v>
      </c>
      <c r="E110" t="str">
        <f t="shared" si="1"/>
        <v xml:space="preserve">  number: 2-0-21</v>
      </c>
      <c r="M110" t="s">
        <v>279</v>
      </c>
    </row>
    <row r="111" spans="2:13" x14ac:dyDescent="0.3">
      <c r="B111" t="str">
        <v>s_Target_Adv_Bonus_Left_Top:</v>
      </c>
      <c r="C111" t="str">
        <v xml:space="preserve"> </v>
      </c>
      <c r="E111" t="str">
        <f t="shared" si="1"/>
        <v xml:space="preserve"> s_Target_Adv_Bonus_Left_Top:</v>
      </c>
      <c r="M111" t="s">
        <v>272</v>
      </c>
    </row>
    <row r="112" spans="2:13" x14ac:dyDescent="0.3">
      <c r="B112" t="str">
        <v xml:space="preserve"> </v>
      </c>
      <c r="C112" t="str">
        <v>number: 2-0-22</v>
      </c>
      <c r="E112" t="str">
        <f t="shared" si="1"/>
        <v xml:space="preserve">  number: 2-0-22</v>
      </c>
      <c r="M112" t="s">
        <v>281</v>
      </c>
    </row>
    <row r="113" spans="2:13" x14ac:dyDescent="0.3">
      <c r="B113" t="str">
        <v>s_Target_A:</v>
      </c>
      <c r="C113" t="str">
        <v xml:space="preserve"> </v>
      </c>
      <c r="E113" t="str">
        <f t="shared" si="1"/>
        <v xml:space="preserve"> s_Target_A:</v>
      </c>
      <c r="M113" t="s">
        <v>274</v>
      </c>
    </row>
    <row r="114" spans="2:13" x14ac:dyDescent="0.3">
      <c r="B114" t="str">
        <v xml:space="preserve"> </v>
      </c>
      <c r="C114" t="str">
        <v>number: 2-0-23</v>
      </c>
      <c r="E114" t="str">
        <f t="shared" si="1"/>
        <v xml:space="preserve">  number: 2-0-23</v>
      </c>
      <c r="M114" t="s">
        <v>283</v>
      </c>
    </row>
    <row r="115" spans="2:13" x14ac:dyDescent="0.3">
      <c r="B115" t="str" cm="1">
        <f t="array" ref="B115:C130">'STM-card (2)'!G33:H48</f>
        <v/>
      </c>
      <c r="C115" t="str">
        <v xml:space="preserve"> </v>
      </c>
      <c r="E115" t="str">
        <f t="shared" si="1"/>
        <v xml:space="preserve"> </v>
      </c>
      <c r="M115" t="s">
        <v>276</v>
      </c>
    </row>
    <row r="116" spans="2:13" x14ac:dyDescent="0.3">
      <c r="B116" t="str">
        <v xml:space="preserve"> </v>
      </c>
      <c r="C116" t="str">
        <v/>
      </c>
      <c r="E116" t="str">
        <f t="shared" si="1"/>
        <v xml:space="preserve">  </v>
      </c>
      <c r="M116" t="s">
        <v>285</v>
      </c>
    </row>
    <row r="117" spans="2:13" x14ac:dyDescent="0.3">
      <c r="B117" t="str">
        <v/>
      </c>
      <c r="C117" t="str">
        <v xml:space="preserve"> </v>
      </c>
      <c r="E117" t="str">
        <f t="shared" si="1"/>
        <v xml:space="preserve"> </v>
      </c>
      <c r="M117" t="s">
        <v>278</v>
      </c>
    </row>
    <row r="118" spans="2:13" x14ac:dyDescent="0.3">
      <c r="B118" t="str">
        <v xml:space="preserve"> </v>
      </c>
      <c r="C118" t="str">
        <v/>
      </c>
      <c r="E118" t="str">
        <f t="shared" si="1"/>
        <v xml:space="preserve">  </v>
      </c>
      <c r="M118" t="s">
        <v>287</v>
      </c>
    </row>
    <row r="119" spans="2:13" x14ac:dyDescent="0.3">
      <c r="B119" t="str">
        <v/>
      </c>
      <c r="C119" t="str">
        <v xml:space="preserve"> </v>
      </c>
      <c r="E119" t="str">
        <f t="shared" si="1"/>
        <v xml:space="preserve"> </v>
      </c>
      <c r="M119" t="s">
        <v>280</v>
      </c>
    </row>
    <row r="120" spans="2:13" x14ac:dyDescent="0.3">
      <c r="B120" t="str">
        <v xml:space="preserve"> </v>
      </c>
      <c r="C120" t="str">
        <v/>
      </c>
      <c r="E120" t="str">
        <f t="shared" si="1"/>
        <v xml:space="preserve">  </v>
      </c>
      <c r="M120" t="s">
        <v>289</v>
      </c>
    </row>
    <row r="121" spans="2:13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13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13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13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13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13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13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13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(3)'!A33:B48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si="1"/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ref="E133:E196" si="2">IF((C133=" ")," "&amp;B133,"  "&amp;C133)</f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(3)'!C33:D48</f>
        <v>s_Chime_1:</v>
      </c>
      <c r="C147" t="str">
        <v xml:space="preserve"> </v>
      </c>
      <c r="E147" t="str">
        <f t="shared" si="2"/>
        <v xml:space="preserve"> s_Chime_1:</v>
      </c>
    </row>
    <row r="148" spans="2:5" x14ac:dyDescent="0.3">
      <c r="B148" t="str">
        <v xml:space="preserve"> </v>
      </c>
      <c r="C148" t="str">
        <v>number: 3-0-8</v>
      </c>
      <c r="E148" t="str">
        <f t="shared" si="2"/>
        <v xml:space="preserve">  number: 3-0-8</v>
      </c>
    </row>
    <row r="149" spans="2:5" x14ac:dyDescent="0.3">
      <c r="B149" t="str">
        <v>s_Chime_2:</v>
      </c>
      <c r="C149" t="str">
        <v xml:space="preserve"> </v>
      </c>
      <c r="E149" t="str">
        <f t="shared" si="2"/>
        <v xml:space="preserve"> s_Chime_2:</v>
      </c>
    </row>
    <row r="150" spans="2:5" x14ac:dyDescent="0.3">
      <c r="B150" t="str">
        <v xml:space="preserve"> </v>
      </c>
      <c r="C150" t="str">
        <v>number: 3-0-9</v>
      </c>
      <c r="E150" t="str">
        <f t="shared" si="2"/>
        <v xml:space="preserve">  number: 3-0-9</v>
      </c>
    </row>
    <row r="151" spans="2:5" x14ac:dyDescent="0.3">
      <c r="B151" t="str">
        <v>s_Chime_3:</v>
      </c>
      <c r="C151" t="str">
        <v xml:space="preserve"> </v>
      </c>
      <c r="E151" t="str">
        <f t="shared" si="2"/>
        <v xml:space="preserve"> s_Chime_3:</v>
      </c>
    </row>
    <row r="152" spans="2:5" x14ac:dyDescent="0.3">
      <c r="B152" t="str">
        <v xml:space="preserve"> </v>
      </c>
      <c r="C152" t="str">
        <v>number: 3-0-10</v>
      </c>
      <c r="E152" t="str">
        <f t="shared" si="2"/>
        <v xml:space="preserve">  number: 3-0-10</v>
      </c>
    </row>
    <row r="153" spans="2:5" x14ac:dyDescent="0.3">
      <c r="B153" t="str">
        <v>s_Knocker:</v>
      </c>
      <c r="C153" t="str">
        <v xml:space="preserve"> </v>
      </c>
      <c r="E153" t="str">
        <f t="shared" si="2"/>
        <v xml:space="preserve"> s_Knocker:</v>
      </c>
    </row>
    <row r="154" spans="2:5" x14ac:dyDescent="0.3">
      <c r="B154" t="str">
        <v xml:space="preserve"> </v>
      </c>
      <c r="C154" t="str">
        <v>number: 3-0-11</v>
      </c>
      <c r="E154" t="str">
        <f t="shared" si="2"/>
        <v xml:space="preserve">  number: 3-0-11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(3)'!E33:F48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(3)'!G33:H48</f>
        <v>s_Start_button:</v>
      </c>
      <c r="C179" t="str">
        <v xml:space="preserve"> </v>
      </c>
      <c r="E179" t="str">
        <f t="shared" si="2"/>
        <v xml:space="preserve"> s_Start_button:</v>
      </c>
    </row>
    <row r="180" spans="2:5" x14ac:dyDescent="0.3">
      <c r="B180" t="str">
        <v xml:space="preserve"> </v>
      </c>
      <c r="C180" t="str">
        <v>number: 3-0-24</v>
      </c>
      <c r="E180" t="str">
        <f t="shared" si="2"/>
        <v xml:space="preserve">  number: 3-0-24</v>
      </c>
    </row>
    <row r="181" spans="2:5" x14ac:dyDescent="0.3">
      <c r="B181" t="str">
        <v>s_Tilt_Plumb:</v>
      </c>
      <c r="C181" t="str">
        <v xml:space="preserve"> </v>
      </c>
      <c r="E181" t="str">
        <f t="shared" si="2"/>
        <v xml:space="preserve"> s_Tilt_Plumb:</v>
      </c>
    </row>
    <row r="182" spans="2:5" x14ac:dyDescent="0.3">
      <c r="B182" t="str">
        <v xml:space="preserve"> </v>
      </c>
      <c r="C182" t="str">
        <v>number: 3-0-25</v>
      </c>
      <c r="E182" t="str">
        <f t="shared" si="2"/>
        <v xml:space="preserve">  number: 3-0-25</v>
      </c>
    </row>
    <row r="183" spans="2:5" x14ac:dyDescent="0.3">
      <c r="B183" t="str">
        <v>s_Tilt_Roll:</v>
      </c>
      <c r="C183" t="str">
        <v xml:space="preserve"> </v>
      </c>
      <c r="E183" t="str">
        <f t="shared" si="2"/>
        <v xml:space="preserve"> s_Tilt_Roll:</v>
      </c>
    </row>
    <row r="184" spans="2:5" x14ac:dyDescent="0.3">
      <c r="B184" t="str">
        <v xml:space="preserve"> </v>
      </c>
      <c r="C184" t="str">
        <v>number: 3-0-26</v>
      </c>
      <c r="E184" t="str">
        <f t="shared" si="2"/>
        <v xml:space="preserve">  number: 3-0-26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(4)'!A33:B48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si="2"/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ref="E197:E260" si="3">IF((C197=" ")," "&amp;B197,"  "&amp;C197)</f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(4)'!C33:D48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(4)'!E33:F48</f>
        <v>s_score_1p_10:</v>
      </c>
      <c r="C227" t="str">
        <v xml:space="preserve"> </v>
      </c>
      <c r="E227" t="str">
        <f t="shared" si="3"/>
        <v xml:space="preserve"> s_score_1p_10:</v>
      </c>
    </row>
    <row r="228" spans="2:5" x14ac:dyDescent="0.3">
      <c r="B228" t="str">
        <v xml:space="preserve"> </v>
      </c>
      <c r="C228" t="str">
        <v>number: 4-0-16</v>
      </c>
      <c r="E228" t="str">
        <f t="shared" si="3"/>
        <v xml:space="preserve">  number: 4-0-16</v>
      </c>
    </row>
    <row r="229" spans="2:5" x14ac:dyDescent="0.3">
      <c r="B229" t="str">
        <v>s_score_1p_100:</v>
      </c>
      <c r="C229" t="str">
        <v xml:space="preserve"> </v>
      </c>
      <c r="E229" t="str">
        <f t="shared" si="3"/>
        <v xml:space="preserve"> s_score_1p_100:</v>
      </c>
    </row>
    <row r="230" spans="2:5" x14ac:dyDescent="0.3">
      <c r="B230" t="str">
        <v xml:space="preserve"> </v>
      </c>
      <c r="C230" t="str">
        <v>number: 4-0-17</v>
      </c>
      <c r="E230" t="str">
        <f t="shared" si="3"/>
        <v xml:space="preserve">  number: 4-0-17</v>
      </c>
    </row>
    <row r="231" spans="2:5" x14ac:dyDescent="0.3">
      <c r="B231" t="str">
        <v>s_score_1p_1k:</v>
      </c>
      <c r="C231" t="str">
        <v xml:space="preserve"> </v>
      </c>
      <c r="E231" t="str">
        <f t="shared" si="3"/>
        <v xml:space="preserve"> s_score_1p_1k:</v>
      </c>
    </row>
    <row r="232" spans="2:5" x14ac:dyDescent="0.3">
      <c r="B232" t="str">
        <v xml:space="preserve"> </v>
      </c>
      <c r="C232" t="str">
        <v>number: 4-0-18</v>
      </c>
      <c r="E232" t="str">
        <f t="shared" si="3"/>
        <v xml:space="preserve">  number: 4-0-18</v>
      </c>
    </row>
    <row r="233" spans="2:5" x14ac:dyDescent="0.3">
      <c r="B233" t="str">
        <v>s_score_1p_10k:</v>
      </c>
      <c r="C233" t="str">
        <v xml:space="preserve"> </v>
      </c>
      <c r="E233" t="str">
        <f t="shared" si="3"/>
        <v xml:space="preserve"> s_score_1p_10k:</v>
      </c>
    </row>
    <row r="234" spans="2:5" x14ac:dyDescent="0.3">
      <c r="B234" t="str">
        <v xml:space="preserve"> </v>
      </c>
      <c r="C234" t="str">
        <v>number: 4-0-19</v>
      </c>
      <c r="E234" t="str">
        <f t="shared" si="3"/>
        <v xml:space="preserve">  number: 4-0-19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(4)'!G33:H48</f>
        <v>s_score_3p_10:</v>
      </c>
      <c r="C243" t="str">
        <v xml:space="preserve"> </v>
      </c>
      <c r="E243" t="str">
        <f t="shared" si="3"/>
        <v xml:space="preserve"> s_score_3p_10:</v>
      </c>
    </row>
    <row r="244" spans="2:5" x14ac:dyDescent="0.3">
      <c r="B244" t="str">
        <v xml:space="preserve"> </v>
      </c>
      <c r="C244" t="str">
        <v>number: 4-0-24</v>
      </c>
      <c r="E244" t="str">
        <f t="shared" si="3"/>
        <v xml:space="preserve">  number: 4-0-24</v>
      </c>
    </row>
    <row r="245" spans="2:5" x14ac:dyDescent="0.3">
      <c r="B245" t="str">
        <v>s_score_3p_100:</v>
      </c>
      <c r="C245" t="str">
        <v xml:space="preserve"> </v>
      </c>
      <c r="E245" t="str">
        <f t="shared" si="3"/>
        <v xml:space="preserve"> s_score_3p_100:</v>
      </c>
    </row>
    <row r="246" spans="2:5" x14ac:dyDescent="0.3">
      <c r="B246" t="str">
        <v xml:space="preserve"> </v>
      </c>
      <c r="C246" t="str">
        <v>number: 4-0-25</v>
      </c>
      <c r="E246" t="str">
        <f t="shared" si="3"/>
        <v xml:space="preserve">  number: 4-0-25</v>
      </c>
    </row>
    <row r="247" spans="2:5" x14ac:dyDescent="0.3">
      <c r="B247" t="str">
        <v>s_score_3p_1k:</v>
      </c>
      <c r="C247" t="str">
        <v xml:space="preserve"> </v>
      </c>
      <c r="E247" t="str">
        <f t="shared" si="3"/>
        <v xml:space="preserve"> s_score_3p_1k:</v>
      </c>
    </row>
    <row r="248" spans="2:5" x14ac:dyDescent="0.3">
      <c r="B248" t="str">
        <v xml:space="preserve"> </v>
      </c>
      <c r="C248" t="str">
        <v>number: 4-0-26</v>
      </c>
      <c r="E248" t="str">
        <f t="shared" si="3"/>
        <v xml:space="preserve">  number: 4-0-26</v>
      </c>
    </row>
    <row r="249" spans="2:5" x14ac:dyDescent="0.3">
      <c r="B249" t="str">
        <v>s_score_3p_10k:</v>
      </c>
      <c r="C249" t="str">
        <v xml:space="preserve"> </v>
      </c>
      <c r="E249" t="str">
        <f t="shared" si="3"/>
        <v xml:space="preserve"> s_score_3p_10k:</v>
      </c>
    </row>
    <row r="250" spans="2:5" x14ac:dyDescent="0.3">
      <c r="B250" t="str">
        <v xml:space="preserve"> </v>
      </c>
      <c r="C250" t="str">
        <v>number: 4-0-27</v>
      </c>
      <c r="E250" t="str">
        <f t="shared" si="3"/>
        <v xml:space="preserve">  number: 4-0-27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(5)'!A33:B48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si="3"/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ref="E261:E324" si="4">IF((C261=" ")," "&amp;B261,"  "&amp;C261)</f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(5)'!C33:D48</f>
        <v>s_score_2p_10:</v>
      </c>
      <c r="C275" t="str">
        <v xml:space="preserve"> </v>
      </c>
      <c r="E275" t="str">
        <f t="shared" si="4"/>
        <v xml:space="preserve"> s_score_2p_10:</v>
      </c>
    </row>
    <row r="276" spans="2:5" x14ac:dyDescent="0.3">
      <c r="B276" t="str">
        <v xml:space="preserve"> </v>
      </c>
      <c r="C276" t="str">
        <v>number: 5-0-8</v>
      </c>
      <c r="E276" t="str">
        <f t="shared" si="4"/>
        <v xml:space="preserve">  number: 5-0-8</v>
      </c>
    </row>
    <row r="277" spans="2:5" x14ac:dyDescent="0.3">
      <c r="B277" t="str">
        <v>s_score_2p_100:</v>
      </c>
      <c r="C277" t="str">
        <v xml:space="preserve"> </v>
      </c>
      <c r="E277" t="str">
        <f t="shared" si="4"/>
        <v xml:space="preserve"> s_score_2p_100:</v>
      </c>
    </row>
    <row r="278" spans="2:5" x14ac:dyDescent="0.3">
      <c r="B278" t="str">
        <v xml:space="preserve"> </v>
      </c>
      <c r="C278" t="str">
        <v>number: 5-0-9</v>
      </c>
      <c r="E278" t="str">
        <f t="shared" si="4"/>
        <v xml:space="preserve">  number: 5-0-9</v>
      </c>
    </row>
    <row r="279" spans="2:5" x14ac:dyDescent="0.3">
      <c r="B279" t="str">
        <v>s_score_2p_1k:</v>
      </c>
      <c r="C279" t="str">
        <v xml:space="preserve"> </v>
      </c>
      <c r="E279" t="str">
        <f t="shared" si="4"/>
        <v xml:space="preserve"> s_score_2p_1k:</v>
      </c>
    </row>
    <row r="280" spans="2:5" x14ac:dyDescent="0.3">
      <c r="B280" t="str">
        <v xml:space="preserve"> </v>
      </c>
      <c r="C280" t="str">
        <v>number: 5-0-10</v>
      </c>
      <c r="E280" t="str">
        <f t="shared" si="4"/>
        <v xml:space="preserve">  number: 5-0-10</v>
      </c>
    </row>
    <row r="281" spans="2:5" x14ac:dyDescent="0.3">
      <c r="B281" t="str">
        <v>s_score_2p_10k:</v>
      </c>
      <c r="C281" t="str">
        <v xml:space="preserve"> </v>
      </c>
      <c r="E281" t="str">
        <f t="shared" si="4"/>
        <v xml:space="preserve"> s_score_2p_10k:</v>
      </c>
    </row>
    <row r="282" spans="2:5" x14ac:dyDescent="0.3">
      <c r="B282" t="str">
        <v xml:space="preserve"> </v>
      </c>
      <c r="C282" t="str">
        <v>number: 5-0-11</v>
      </c>
      <c r="E282" t="str">
        <f t="shared" si="4"/>
        <v xml:space="preserve">  number: 5-0-11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(5)'!E33:F48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(5)'!G33:H48</f>
        <v>s_score_4p_10:</v>
      </c>
      <c r="C307" t="str">
        <v xml:space="preserve"> </v>
      </c>
      <c r="E307" t="str">
        <f t="shared" si="4"/>
        <v xml:space="preserve"> s_score_4p_10:</v>
      </c>
    </row>
    <row r="308" spans="2:5" x14ac:dyDescent="0.3">
      <c r="B308" t="str">
        <v xml:space="preserve"> </v>
      </c>
      <c r="C308" t="str">
        <v>number: 5-0-24</v>
      </c>
      <c r="E308" t="str">
        <f t="shared" si="4"/>
        <v xml:space="preserve">  number: 5-0-24</v>
      </c>
    </row>
    <row r="309" spans="2:5" x14ac:dyDescent="0.3">
      <c r="B309" t="str">
        <v>s_score_4p_100:</v>
      </c>
      <c r="C309" t="str">
        <v xml:space="preserve"> </v>
      </c>
      <c r="E309" t="str">
        <f t="shared" si="4"/>
        <v xml:space="preserve"> s_score_4p_100:</v>
      </c>
    </row>
    <row r="310" spans="2:5" x14ac:dyDescent="0.3">
      <c r="B310" t="str">
        <v xml:space="preserve"> </v>
      </c>
      <c r="C310" t="str">
        <v>number: 5-0-25</v>
      </c>
      <c r="E310" t="str">
        <f t="shared" si="4"/>
        <v xml:space="preserve">  number: 5-0-25</v>
      </c>
    </row>
    <row r="311" spans="2:5" x14ac:dyDescent="0.3">
      <c r="B311" t="str">
        <v>s_score_4p_1k:</v>
      </c>
      <c r="C311" t="str">
        <v xml:space="preserve"> </v>
      </c>
      <c r="E311" t="str">
        <f t="shared" si="4"/>
        <v xml:space="preserve"> s_score_4p_1k:</v>
      </c>
    </row>
    <row r="312" spans="2:5" x14ac:dyDescent="0.3">
      <c r="B312" t="str">
        <v xml:space="preserve"> </v>
      </c>
      <c r="C312" t="str">
        <v>number: 5-0-26</v>
      </c>
      <c r="E312" t="str">
        <f t="shared" si="4"/>
        <v xml:space="preserve">  number: 5-0-26</v>
      </c>
    </row>
    <row r="313" spans="2:5" x14ac:dyDescent="0.3">
      <c r="B313" t="str">
        <v>s_score_4p_10k:</v>
      </c>
      <c r="C313" t="str">
        <v xml:space="preserve"> </v>
      </c>
      <c r="E313" t="str">
        <f t="shared" si="4"/>
        <v xml:space="preserve"> s_score_4p_10k:</v>
      </c>
    </row>
    <row r="314" spans="2:5" x14ac:dyDescent="0.3">
      <c r="B314" t="str">
        <v xml:space="preserve"> </v>
      </c>
      <c r="C314" t="str">
        <v>number: 5-0-27</v>
      </c>
      <c r="E314" t="str">
        <f t="shared" si="4"/>
        <v xml:space="preserve">  number: 5-0-27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(6)'!A33:B48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si="4"/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ref="E325:E388" si="5">IF((C325=" ")," "&amp;B325,"  "&amp;C325)</f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 xml:space="preserve"> </v>
      </c>
      <c r="C331" t="str">
        <v xml:space="preserve"> </v>
      </c>
      <c r="E331" t="str">
        <f t="shared" si="5"/>
        <v xml:space="preserve">  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(6)'!C33:D48</f>
        <v/>
      </c>
      <c r="C339" t="str">
        <v xml:space="preserve"> </v>
      </c>
      <c r="E339" t="str">
        <f t="shared" si="5"/>
        <v xml:space="preserve"> </v>
      </c>
    </row>
    <row r="340" spans="2:5" x14ac:dyDescent="0.3">
      <c r="B340" t="str">
        <v xml:space="preserve"> </v>
      </c>
      <c r="C340" t="str">
        <v/>
      </c>
      <c r="E340" t="str">
        <f t="shared" si="5"/>
        <v xml:space="preserve">  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/>
      </c>
      <c r="C343" t="str">
        <v xml:space="preserve"> </v>
      </c>
      <c r="E343" t="str">
        <f t="shared" si="5"/>
        <v xml:space="preserve"> </v>
      </c>
    </row>
    <row r="344" spans="2:5" x14ac:dyDescent="0.3">
      <c r="B344" t="str">
        <v xml:space="preserve"> </v>
      </c>
      <c r="C344" t="str">
        <v/>
      </c>
      <c r="E344" t="str">
        <f t="shared" si="5"/>
        <v xml:space="preserve">  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/>
      </c>
      <c r="C347" t="str">
        <v xml:space="preserve"> </v>
      </c>
      <c r="E347" t="str">
        <f t="shared" si="5"/>
        <v xml:space="preserve"> </v>
      </c>
    </row>
    <row r="348" spans="2:5" x14ac:dyDescent="0.3">
      <c r="B348" t="str">
        <v xml:space="preserve"> </v>
      </c>
      <c r="C348" t="str">
        <v/>
      </c>
      <c r="E348" t="str">
        <f t="shared" si="5"/>
        <v xml:space="preserve">  </v>
      </c>
    </row>
    <row r="349" spans="2:5" x14ac:dyDescent="0.3">
      <c r="B349" t="str">
        <v/>
      </c>
      <c r="C349" t="str">
        <v xml:space="preserve"> </v>
      </c>
      <c r="E349" t="str">
        <f t="shared" si="5"/>
        <v xml:space="preserve"> </v>
      </c>
    </row>
    <row r="350" spans="2:5" x14ac:dyDescent="0.3">
      <c r="B350" t="str">
        <v xml:space="preserve"> </v>
      </c>
      <c r="C350" t="str">
        <v/>
      </c>
      <c r="E350" t="str">
        <f t="shared" si="5"/>
        <v xml:space="preserve">  </v>
      </c>
    </row>
    <row r="351" spans="2:5" x14ac:dyDescent="0.3">
      <c r="B351" t="str">
        <v/>
      </c>
      <c r="C351" t="str">
        <v xml:space="preserve"> </v>
      </c>
      <c r="E351" t="str">
        <f t="shared" si="5"/>
        <v xml:space="preserve"> </v>
      </c>
    </row>
    <row r="352" spans="2:5" x14ac:dyDescent="0.3">
      <c r="B352" t="str">
        <v xml:space="preserve"> </v>
      </c>
      <c r="C352" t="str">
        <v/>
      </c>
      <c r="E352" t="str">
        <f t="shared" si="5"/>
        <v xml:space="preserve">  </v>
      </c>
    </row>
    <row r="353" spans="2:5" x14ac:dyDescent="0.3">
      <c r="B353" t="str">
        <v/>
      </c>
      <c r="C353" t="str">
        <v xml:space="preserve"> </v>
      </c>
      <c r="E353" t="str">
        <f t="shared" si="5"/>
        <v xml:space="preserve"> </v>
      </c>
    </row>
    <row r="354" spans="2:5" x14ac:dyDescent="0.3">
      <c r="B354" t="str">
        <v xml:space="preserve"> </v>
      </c>
      <c r="C354" t="str">
        <v/>
      </c>
      <c r="E354" t="str">
        <f t="shared" si="5"/>
        <v xml:space="preserve">  </v>
      </c>
    </row>
    <row r="355" spans="2:5" x14ac:dyDescent="0.3">
      <c r="B355" t="str" cm="1">
        <f t="array" ref="B355:C370">'STM-card (6)'!E33:F48</f>
        <v/>
      </c>
      <c r="C355" t="str">
        <v xml:space="preserve"> </v>
      </c>
      <c r="E355" t="str">
        <f t="shared" si="5"/>
        <v xml:space="preserve"> </v>
      </c>
    </row>
    <row r="356" spans="2:5" x14ac:dyDescent="0.3">
      <c r="B356" t="str">
        <v xml:space="preserve"> </v>
      </c>
      <c r="C356" t="str">
        <v/>
      </c>
      <c r="E356" t="str">
        <f t="shared" si="5"/>
        <v xml:space="preserve">  </v>
      </c>
    </row>
    <row r="357" spans="2:5" x14ac:dyDescent="0.3">
      <c r="B357" t="str">
        <v/>
      </c>
      <c r="C357" t="str">
        <v xml:space="preserve"> </v>
      </c>
      <c r="E357" t="str">
        <f t="shared" si="5"/>
        <v xml:space="preserve"> </v>
      </c>
    </row>
    <row r="358" spans="2:5" x14ac:dyDescent="0.3">
      <c r="B358" t="str">
        <v xml:space="preserve"> </v>
      </c>
      <c r="C358" t="str">
        <v/>
      </c>
      <c r="E358" t="str">
        <f t="shared" si="5"/>
        <v xml:space="preserve">  </v>
      </c>
    </row>
    <row r="359" spans="2:5" x14ac:dyDescent="0.3">
      <c r="B359" t="str">
        <v/>
      </c>
      <c r="C359" t="str">
        <v xml:space="preserve"> </v>
      </c>
      <c r="E359" t="str">
        <f t="shared" si="5"/>
        <v xml:space="preserve"> </v>
      </c>
    </row>
    <row r="360" spans="2:5" x14ac:dyDescent="0.3">
      <c r="B360" t="str">
        <v xml:space="preserve"> </v>
      </c>
      <c r="C360" t="str">
        <v/>
      </c>
      <c r="E360" t="str">
        <f t="shared" si="5"/>
        <v xml:space="preserve">  </v>
      </c>
    </row>
    <row r="361" spans="2:5" x14ac:dyDescent="0.3">
      <c r="B361" t="str">
        <v/>
      </c>
      <c r="C361" t="str">
        <v xml:space="preserve"> </v>
      </c>
      <c r="E361" t="str">
        <f t="shared" si="5"/>
        <v xml:space="preserve"> </v>
      </c>
    </row>
    <row r="362" spans="2:5" x14ac:dyDescent="0.3">
      <c r="B362" t="str">
        <v xml:space="preserve"> </v>
      </c>
      <c r="C362" t="str">
        <v/>
      </c>
      <c r="E362" t="str">
        <f t="shared" si="5"/>
        <v xml:space="preserve">  </v>
      </c>
    </row>
    <row r="363" spans="2:5" x14ac:dyDescent="0.3">
      <c r="B363" t="str">
        <v/>
      </c>
      <c r="C363" t="str">
        <v xml:space="preserve"> </v>
      </c>
      <c r="E363" t="str">
        <f t="shared" si="5"/>
        <v xml:space="preserve"> </v>
      </c>
    </row>
    <row r="364" spans="2:5" x14ac:dyDescent="0.3">
      <c r="B364" t="str">
        <v xml:space="preserve"> </v>
      </c>
      <c r="C364" t="str">
        <v/>
      </c>
      <c r="E364" t="str">
        <f t="shared" si="5"/>
        <v xml:space="preserve">  </v>
      </c>
    </row>
    <row r="365" spans="2:5" x14ac:dyDescent="0.3">
      <c r="B365" t="str">
        <v/>
      </c>
      <c r="C365" t="str">
        <v xml:space="preserve"> </v>
      </c>
      <c r="E365" t="str">
        <f t="shared" si="5"/>
        <v xml:space="preserve"> </v>
      </c>
    </row>
    <row r="366" spans="2:5" x14ac:dyDescent="0.3">
      <c r="B366" t="str">
        <v xml:space="preserve"> </v>
      </c>
      <c r="C366" t="str">
        <v/>
      </c>
      <c r="E366" t="str">
        <f t="shared" si="5"/>
        <v xml:space="preserve">  </v>
      </c>
    </row>
    <row r="367" spans="2:5" x14ac:dyDescent="0.3">
      <c r="B367" t="str">
        <v/>
      </c>
      <c r="C367" t="str">
        <v xml:space="preserve"> </v>
      </c>
      <c r="E367" t="str">
        <f t="shared" si="5"/>
        <v xml:space="preserve"> </v>
      </c>
    </row>
    <row r="368" spans="2:5" x14ac:dyDescent="0.3">
      <c r="B368" t="str">
        <v xml:space="preserve"> </v>
      </c>
      <c r="C368" t="str">
        <v/>
      </c>
      <c r="E368" t="str">
        <f t="shared" si="5"/>
        <v xml:space="preserve">  </v>
      </c>
    </row>
    <row r="369" spans="2:5" x14ac:dyDescent="0.3">
      <c r="B369" t="str">
        <v/>
      </c>
      <c r="C369" t="str">
        <v xml:space="preserve"> </v>
      </c>
      <c r="E369" t="str">
        <f t="shared" si="5"/>
        <v xml:space="preserve"> </v>
      </c>
    </row>
    <row r="370" spans="2:5" x14ac:dyDescent="0.3">
      <c r="B370" t="str">
        <v xml:space="preserve"> </v>
      </c>
      <c r="C370" t="str">
        <v/>
      </c>
      <c r="E370" t="str">
        <f t="shared" si="5"/>
        <v xml:space="preserve">  </v>
      </c>
    </row>
    <row r="371" spans="2:5" x14ac:dyDescent="0.3">
      <c r="B371" t="str" cm="1">
        <f t="array" ref="B371:C386">'STM-card (6)'!G33:H48</f>
        <v/>
      </c>
      <c r="C371" t="str">
        <v xml:space="preserve"> </v>
      </c>
      <c r="E371" t="str">
        <f t="shared" si="5"/>
        <v xml:space="preserve"> </v>
      </c>
    </row>
    <row r="372" spans="2:5" x14ac:dyDescent="0.3">
      <c r="B372" t="str">
        <v xml:space="preserve"> </v>
      </c>
      <c r="C372" t="str">
        <v/>
      </c>
      <c r="E372" t="str">
        <f t="shared" si="5"/>
        <v xml:space="preserve">  </v>
      </c>
    </row>
    <row r="373" spans="2:5" x14ac:dyDescent="0.3">
      <c r="B373" t="str">
        <v/>
      </c>
      <c r="C373" t="str">
        <v xml:space="preserve"> </v>
      </c>
      <c r="E373" t="str">
        <f t="shared" si="5"/>
        <v xml:space="preserve"> </v>
      </c>
    </row>
    <row r="374" spans="2:5" x14ac:dyDescent="0.3">
      <c r="B374" t="str">
        <v xml:space="preserve"> </v>
      </c>
      <c r="C374" t="str">
        <v/>
      </c>
      <c r="E374" t="str">
        <f t="shared" si="5"/>
        <v xml:space="preserve">  </v>
      </c>
    </row>
    <row r="375" spans="2:5" x14ac:dyDescent="0.3">
      <c r="B375" t="str">
        <v/>
      </c>
      <c r="C375" t="str">
        <v xml:space="preserve"> </v>
      </c>
      <c r="E375" t="str">
        <f t="shared" si="5"/>
        <v xml:space="preserve"> </v>
      </c>
    </row>
    <row r="376" spans="2:5" x14ac:dyDescent="0.3">
      <c r="B376" t="str">
        <v xml:space="preserve"> </v>
      </c>
      <c r="C376" t="str">
        <v/>
      </c>
      <c r="E376" t="str">
        <f t="shared" si="5"/>
        <v xml:space="preserve">  </v>
      </c>
    </row>
    <row r="377" spans="2:5" x14ac:dyDescent="0.3">
      <c r="B377" t="str">
        <v/>
      </c>
      <c r="C377" t="str">
        <v xml:space="preserve"> </v>
      </c>
      <c r="E377" t="str">
        <f t="shared" si="5"/>
        <v xml:space="preserve"> </v>
      </c>
    </row>
    <row r="378" spans="2:5" x14ac:dyDescent="0.3">
      <c r="B378" t="str">
        <v xml:space="preserve"> </v>
      </c>
      <c r="C378" t="str">
        <v/>
      </c>
      <c r="E378" t="str">
        <f t="shared" si="5"/>
        <v xml:space="preserve">  </v>
      </c>
    </row>
    <row r="379" spans="2:5" x14ac:dyDescent="0.3">
      <c r="B379" t="str">
        <v/>
      </c>
      <c r="C379" t="str">
        <v xml:space="preserve"> </v>
      </c>
      <c r="E379" t="str">
        <f t="shared" si="5"/>
        <v xml:space="preserve"> </v>
      </c>
    </row>
    <row r="380" spans="2:5" x14ac:dyDescent="0.3">
      <c r="B380" t="str">
        <v xml:space="preserve"> </v>
      </c>
      <c r="C380" t="str">
        <v/>
      </c>
      <c r="E380" t="str">
        <f t="shared" si="5"/>
        <v xml:space="preserve">  </v>
      </c>
    </row>
    <row r="381" spans="2:5" x14ac:dyDescent="0.3">
      <c r="B381" t="str">
        <v/>
      </c>
      <c r="C381" t="str">
        <v xml:space="preserve"> </v>
      </c>
      <c r="E381" t="str">
        <f t="shared" si="5"/>
        <v xml:space="preserve"> </v>
      </c>
    </row>
    <row r="382" spans="2:5" x14ac:dyDescent="0.3">
      <c r="B382" t="str">
        <v xml:space="preserve"> </v>
      </c>
      <c r="C382" t="str">
        <v/>
      </c>
      <c r="E382" t="str">
        <f t="shared" si="5"/>
        <v xml:space="preserve">  </v>
      </c>
    </row>
    <row r="383" spans="2:5" x14ac:dyDescent="0.3">
      <c r="B383" t="str">
        <v/>
      </c>
      <c r="C383" t="str">
        <v xml:space="preserve"> </v>
      </c>
      <c r="E383" t="str">
        <f t="shared" si="5"/>
        <v xml:space="preserve"> </v>
      </c>
    </row>
    <row r="384" spans="2:5" x14ac:dyDescent="0.3">
      <c r="B384" t="str">
        <v xml:space="preserve"> </v>
      </c>
      <c r="C384" t="str">
        <v/>
      </c>
      <c r="E384" t="str">
        <f t="shared" si="5"/>
        <v xml:space="preserve">  </v>
      </c>
    </row>
    <row r="385" spans="2:5" x14ac:dyDescent="0.3">
      <c r="B385" t="str">
        <v/>
      </c>
      <c r="C385" t="str">
        <v xml:space="preserve"> </v>
      </c>
      <c r="E385" t="str">
        <f t="shared" si="5"/>
        <v xml:space="preserve"> </v>
      </c>
    </row>
    <row r="386" spans="2:5" x14ac:dyDescent="0.3">
      <c r="B386" t="str">
        <v xml:space="preserve"> </v>
      </c>
      <c r="C386" t="str">
        <v/>
      </c>
      <c r="E386" t="str">
        <f t="shared" si="5"/>
        <v xml:space="preserve">  </v>
      </c>
    </row>
    <row r="387" spans="2:5" x14ac:dyDescent="0.3">
      <c r="B387" t="str" cm="1">
        <f t="array" ref="B387:C402">'STM-card (7)'!A33:B48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si="5"/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ref="E389:E452" si="6">IF((C389=" ")," "&amp;B389,"  "&amp;C389)</f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(7)'!C33:D48</f>
        <v/>
      </c>
      <c r="C403" t="str">
        <v xml:space="preserve"> </v>
      </c>
      <c r="E403" t="str">
        <f t="shared" si="6"/>
        <v xml:space="preserve"> </v>
      </c>
    </row>
    <row r="404" spans="2:5" x14ac:dyDescent="0.3">
      <c r="B404" t="str">
        <v xml:space="preserve"> </v>
      </c>
      <c r="C404" t="str">
        <v/>
      </c>
      <c r="E404" t="str">
        <f t="shared" si="6"/>
        <v xml:space="preserve">  </v>
      </c>
    </row>
    <row r="405" spans="2:5" x14ac:dyDescent="0.3">
      <c r="B405" t="str">
        <v/>
      </c>
      <c r="C405" t="str">
        <v xml:space="preserve"> </v>
      </c>
      <c r="E405" t="str">
        <f t="shared" si="6"/>
        <v xml:space="preserve"> </v>
      </c>
    </row>
    <row r="406" spans="2:5" x14ac:dyDescent="0.3">
      <c r="B406" t="str">
        <v xml:space="preserve"> </v>
      </c>
      <c r="C406" t="str">
        <v/>
      </c>
      <c r="E406" t="str">
        <f t="shared" si="6"/>
        <v xml:space="preserve">  </v>
      </c>
    </row>
    <row r="407" spans="2:5" x14ac:dyDescent="0.3">
      <c r="B407" t="str">
        <v/>
      </c>
      <c r="C407" t="str">
        <v xml:space="preserve"> </v>
      </c>
      <c r="E407" t="str">
        <f t="shared" si="6"/>
        <v xml:space="preserve"> </v>
      </c>
    </row>
    <row r="408" spans="2:5" x14ac:dyDescent="0.3">
      <c r="B408" t="str">
        <v xml:space="preserve"> </v>
      </c>
      <c r="C408" t="str">
        <v/>
      </c>
      <c r="E408" t="str">
        <f t="shared" si="6"/>
        <v xml:space="preserve">  </v>
      </c>
    </row>
    <row r="409" spans="2:5" x14ac:dyDescent="0.3">
      <c r="B409" t="str">
        <v/>
      </c>
      <c r="C409" t="str">
        <v xml:space="preserve"> </v>
      </c>
      <c r="E409" t="str">
        <f t="shared" si="6"/>
        <v xml:space="preserve"> </v>
      </c>
    </row>
    <row r="410" spans="2:5" x14ac:dyDescent="0.3">
      <c r="B410" t="str">
        <v xml:space="preserve"> </v>
      </c>
      <c r="C410" t="str">
        <v/>
      </c>
      <c r="E410" t="str">
        <f t="shared" si="6"/>
        <v xml:space="preserve">  </v>
      </c>
    </row>
    <row r="411" spans="2:5" x14ac:dyDescent="0.3">
      <c r="B411" t="str">
        <v/>
      </c>
      <c r="C411" t="str">
        <v xml:space="preserve"> </v>
      </c>
      <c r="E411" t="str">
        <f t="shared" si="6"/>
        <v xml:space="preserve"> </v>
      </c>
    </row>
    <row r="412" spans="2:5" x14ac:dyDescent="0.3">
      <c r="B412" t="str">
        <v xml:space="preserve"> </v>
      </c>
      <c r="C412" t="str">
        <v/>
      </c>
      <c r="E412" t="str">
        <f t="shared" si="6"/>
        <v xml:space="preserve">  </v>
      </c>
    </row>
    <row r="413" spans="2:5" x14ac:dyDescent="0.3">
      <c r="B413" t="str">
        <v/>
      </c>
      <c r="C413" t="str">
        <v xml:space="preserve"> </v>
      </c>
      <c r="E413" t="str">
        <f t="shared" si="6"/>
        <v xml:space="preserve"> </v>
      </c>
    </row>
    <row r="414" spans="2:5" x14ac:dyDescent="0.3">
      <c r="B414" t="str">
        <v xml:space="preserve"> </v>
      </c>
      <c r="C414" t="str">
        <v/>
      </c>
      <c r="E414" t="str">
        <f t="shared" si="6"/>
        <v xml:space="preserve">  </v>
      </c>
    </row>
    <row r="415" spans="2:5" x14ac:dyDescent="0.3">
      <c r="B415" t="str">
        <v/>
      </c>
      <c r="C415" t="str">
        <v xml:space="preserve"> </v>
      </c>
      <c r="E415" t="str">
        <f t="shared" si="6"/>
        <v xml:space="preserve"> </v>
      </c>
    </row>
    <row r="416" spans="2:5" x14ac:dyDescent="0.3">
      <c r="B416" t="str">
        <v xml:space="preserve"> </v>
      </c>
      <c r="C416" t="str">
        <v/>
      </c>
      <c r="E416" t="str">
        <f t="shared" si="6"/>
        <v xml:space="preserve">  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(7)'!E33:F48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(7)'!G33:H48</f>
        <v/>
      </c>
      <c r="C435" t="str">
        <v xml:space="preserve"> </v>
      </c>
      <c r="E435" t="str">
        <f t="shared" si="6"/>
        <v xml:space="preserve"> </v>
      </c>
    </row>
    <row r="436" spans="2:5" x14ac:dyDescent="0.3">
      <c r="B436" t="str">
        <v xml:space="preserve"> </v>
      </c>
      <c r="C436" t="str">
        <v/>
      </c>
      <c r="E436" t="str">
        <f t="shared" si="6"/>
        <v xml:space="preserve">  </v>
      </c>
    </row>
    <row r="437" spans="2:5" x14ac:dyDescent="0.3">
      <c r="B437" t="str">
        <v/>
      </c>
      <c r="C437" t="str">
        <v xml:space="preserve"> </v>
      </c>
      <c r="E437" t="str">
        <f t="shared" si="6"/>
        <v xml:space="preserve"> </v>
      </c>
    </row>
    <row r="438" spans="2:5" x14ac:dyDescent="0.3">
      <c r="B438" t="str">
        <v xml:space="preserve"> </v>
      </c>
      <c r="C438" t="str">
        <v/>
      </c>
      <c r="E438" t="str">
        <f t="shared" si="6"/>
        <v xml:space="preserve">  </v>
      </c>
    </row>
    <row r="439" spans="2:5" x14ac:dyDescent="0.3">
      <c r="B439" t="str">
        <v/>
      </c>
      <c r="C439" t="str">
        <v xml:space="preserve"> </v>
      </c>
      <c r="E439" t="str">
        <f t="shared" si="6"/>
        <v xml:space="preserve"> </v>
      </c>
    </row>
    <row r="440" spans="2:5" x14ac:dyDescent="0.3">
      <c r="B440" t="str">
        <v xml:space="preserve"> </v>
      </c>
      <c r="C440" t="str">
        <v/>
      </c>
      <c r="E440" t="str">
        <f t="shared" si="6"/>
        <v xml:space="preserve">  </v>
      </c>
    </row>
    <row r="441" spans="2:5" x14ac:dyDescent="0.3">
      <c r="B441" t="str">
        <v/>
      </c>
      <c r="C441" t="str">
        <v xml:space="preserve"> </v>
      </c>
      <c r="E441" t="str">
        <f t="shared" si="6"/>
        <v xml:space="preserve"> </v>
      </c>
    </row>
    <row r="442" spans="2:5" x14ac:dyDescent="0.3">
      <c r="B442" t="str">
        <v xml:space="preserve"> </v>
      </c>
      <c r="C442" t="str">
        <v/>
      </c>
      <c r="E442" t="str">
        <f t="shared" si="6"/>
        <v xml:space="preserve">  </v>
      </c>
    </row>
    <row r="443" spans="2:5" x14ac:dyDescent="0.3">
      <c r="B443" t="str">
        <v/>
      </c>
      <c r="C443" t="str">
        <v xml:space="preserve"> </v>
      </c>
      <c r="E443" t="str">
        <f t="shared" si="6"/>
        <v xml:space="preserve"> </v>
      </c>
    </row>
    <row r="444" spans="2:5" x14ac:dyDescent="0.3">
      <c r="B444" t="str">
        <v xml:space="preserve"> </v>
      </c>
      <c r="C444" t="str">
        <v/>
      </c>
      <c r="E444" t="str">
        <f t="shared" si="6"/>
        <v xml:space="preserve">  </v>
      </c>
    </row>
    <row r="445" spans="2:5" x14ac:dyDescent="0.3">
      <c r="B445" t="str">
        <v/>
      </c>
      <c r="C445" t="str">
        <v xml:space="preserve"> </v>
      </c>
      <c r="E445" t="str">
        <f t="shared" si="6"/>
        <v xml:space="preserve"> </v>
      </c>
    </row>
    <row r="446" spans="2:5" x14ac:dyDescent="0.3">
      <c r="B446" t="str">
        <v xml:space="preserve"> </v>
      </c>
      <c r="C446" t="str">
        <v/>
      </c>
      <c r="E446" t="str">
        <f t="shared" si="6"/>
        <v xml:space="preserve">  </v>
      </c>
    </row>
    <row r="447" spans="2:5" x14ac:dyDescent="0.3">
      <c r="B447" t="str">
        <v/>
      </c>
      <c r="C447" t="str">
        <v xml:space="preserve"> </v>
      </c>
      <c r="E447" t="str">
        <f t="shared" si="6"/>
        <v xml:space="preserve"> </v>
      </c>
    </row>
    <row r="448" spans="2:5" x14ac:dyDescent="0.3">
      <c r="B448" t="str">
        <v xml:space="preserve"> </v>
      </c>
      <c r="C448" t="str">
        <v/>
      </c>
      <c r="E448" t="str">
        <f t="shared" si="6"/>
        <v xml:space="preserve">  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(8)'!A33:B48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si="6"/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ref="E453:E514" si="7">IF((C453=" ")," "&amp;B453,"  "&amp;C453)</f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(8)'!C33:D48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(8)'!E33:F48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(8)'!G33:H48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">
                <anchor moveWithCells="1" sizeWithCells="1">
                  <from>
                    <xdr:col>7</xdr:col>
                    <xdr:colOff>0</xdr:colOff>
                    <xdr:row>0</xdr:row>
                    <xdr:rowOff>22860</xdr:rowOff>
                  </from>
                  <to>
                    <xdr:col>10</xdr:col>
                    <xdr:colOff>533400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ACBB5-8732-425F-9CA4-D0CFAE3D50F3}">
  <sheetPr codeName="Feuil11"/>
  <dimension ref="A1:M258"/>
  <sheetViews>
    <sheetView workbookViewId="0">
      <selection activeCell="M31" sqref="M31:M38"/>
    </sheetView>
  </sheetViews>
  <sheetFormatPr baseColWidth="10" defaultRowHeight="14.4" x14ac:dyDescent="0.3"/>
  <cols>
    <col min="1" max="1" width="9.33203125" bestFit="1" customWidth="1"/>
    <col min="13" max="13" width="23.1093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49</v>
      </c>
      <c r="E2" t="str">
        <f>A2</f>
        <v>coils:</v>
      </c>
      <c r="M2" t="s">
        <v>49</v>
      </c>
    </row>
    <row r="3" spans="1:13" x14ac:dyDescent="0.3">
      <c r="B3" t="str" cm="1">
        <f t="array" ref="B3:C10">'STM-card (1)'!A52:B59</f>
        <v/>
      </c>
      <c r="C3" t="str">
        <v xml:space="preserve"> </v>
      </c>
      <c r="E3" t="str">
        <f>IF((C3=" ")," "&amp;B3,"  "&amp;C3)</f>
        <v xml:space="preserve"> </v>
      </c>
      <c r="M3" t="s">
        <v>112</v>
      </c>
    </row>
    <row r="4" spans="1:13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  <c r="M4" t="s">
        <v>180</v>
      </c>
    </row>
    <row r="5" spans="1:13" x14ac:dyDescent="0.3">
      <c r="B5" t="str">
        <v/>
      </c>
      <c r="C5" t="str">
        <v xml:space="preserve"> </v>
      </c>
      <c r="E5" t="str">
        <f t="shared" si="0"/>
        <v xml:space="preserve"> </v>
      </c>
      <c r="M5" t="s">
        <v>113</v>
      </c>
    </row>
    <row r="6" spans="1:13" x14ac:dyDescent="0.3">
      <c r="B6" t="str">
        <v xml:space="preserve"> </v>
      </c>
      <c r="C6" t="str">
        <v/>
      </c>
      <c r="E6" t="str">
        <f t="shared" si="0"/>
        <v xml:space="preserve">  </v>
      </c>
      <c r="M6" t="s">
        <v>150</v>
      </c>
    </row>
    <row r="7" spans="1:13" x14ac:dyDescent="0.3">
      <c r="B7" t="str">
        <v/>
      </c>
      <c r="C7" t="str">
        <v xml:space="preserve"> </v>
      </c>
      <c r="E7" t="str">
        <f t="shared" si="0"/>
        <v xml:space="preserve"> </v>
      </c>
      <c r="M7" t="s">
        <v>114</v>
      </c>
    </row>
    <row r="8" spans="1:13" x14ac:dyDescent="0.3">
      <c r="B8" t="str">
        <v xml:space="preserve"> </v>
      </c>
      <c r="C8" t="str">
        <v/>
      </c>
      <c r="E8" t="str">
        <f t="shared" si="0"/>
        <v xml:space="preserve">  </v>
      </c>
      <c r="M8" t="s">
        <v>152</v>
      </c>
    </row>
    <row r="9" spans="1:13" x14ac:dyDescent="0.3">
      <c r="B9" t="str">
        <v/>
      </c>
      <c r="C9" t="str">
        <v xml:space="preserve"> </v>
      </c>
      <c r="E9" t="str">
        <f t="shared" si="0"/>
        <v xml:space="preserve"> </v>
      </c>
      <c r="M9" t="s">
        <v>115</v>
      </c>
    </row>
    <row r="10" spans="1:13" x14ac:dyDescent="0.3">
      <c r="B10" t="str">
        <v xml:space="preserve"> </v>
      </c>
      <c r="C10" t="str">
        <v/>
      </c>
      <c r="E10" t="str">
        <f t="shared" si="0"/>
        <v xml:space="preserve">  </v>
      </c>
      <c r="M10" t="s">
        <v>154</v>
      </c>
    </row>
    <row r="11" spans="1:13" x14ac:dyDescent="0.3">
      <c r="B11" t="str" cm="1">
        <f t="array" ref="B11:C18">'STM-card (1)'!C52:D59</f>
        <v>c_Flipper_Left_Bottom:</v>
      </c>
      <c r="C11" t="str">
        <v xml:space="preserve"> </v>
      </c>
      <c r="E11" t="str">
        <f t="shared" si="0"/>
        <v xml:space="preserve"> c_Flipper_Left_Bottom:</v>
      </c>
      <c r="M11" t="s">
        <v>116</v>
      </c>
    </row>
    <row r="12" spans="1:13" x14ac:dyDescent="0.3">
      <c r="B12" t="str">
        <v xml:space="preserve"> </v>
      </c>
      <c r="C12" t="str">
        <v>number: 1-0-4</v>
      </c>
      <c r="E12" t="str">
        <f t="shared" si="0"/>
        <v xml:space="preserve">  number: 1-0-4</v>
      </c>
      <c r="M12" t="s">
        <v>156</v>
      </c>
    </row>
    <row r="13" spans="1:13" x14ac:dyDescent="0.3">
      <c r="B13" t="str">
        <v>c_Flipper_Left_Top:</v>
      </c>
      <c r="C13" t="str">
        <v xml:space="preserve"> </v>
      </c>
      <c r="E13" t="str">
        <f t="shared" si="0"/>
        <v xml:space="preserve"> c_Flipper_Left_Top:</v>
      </c>
      <c r="M13" t="s">
        <v>117</v>
      </c>
    </row>
    <row r="14" spans="1:13" x14ac:dyDescent="0.3">
      <c r="B14" t="str">
        <v xml:space="preserve"> </v>
      </c>
      <c r="C14" t="str">
        <v>number: 1-0-5</v>
      </c>
      <c r="E14" t="str">
        <f t="shared" si="0"/>
        <v xml:space="preserve">  number: 1-0-5</v>
      </c>
      <c r="M14" t="s">
        <v>158</v>
      </c>
    </row>
    <row r="15" spans="1:13" x14ac:dyDescent="0.3">
      <c r="B15" t="str">
        <v>c_Flipper_Right_Bottom:</v>
      </c>
      <c r="C15" t="str">
        <v xml:space="preserve"> </v>
      </c>
      <c r="E15" t="str">
        <f t="shared" si="0"/>
        <v xml:space="preserve"> c_Flipper_Right_Bottom:</v>
      </c>
      <c r="M15" t="s">
        <v>178</v>
      </c>
    </row>
    <row r="16" spans="1:13" x14ac:dyDescent="0.3">
      <c r="B16" t="str">
        <v xml:space="preserve"> </v>
      </c>
      <c r="C16" t="str">
        <v>number: 1-0-6</v>
      </c>
      <c r="E16" t="str">
        <f t="shared" si="0"/>
        <v xml:space="preserve">  number: 1-0-6</v>
      </c>
      <c r="M16" t="s">
        <v>160</v>
      </c>
    </row>
    <row r="17" spans="2:13" x14ac:dyDescent="0.3">
      <c r="B17" t="str">
        <v>c_Flipper_Right_Top:</v>
      </c>
      <c r="C17" t="str">
        <v xml:space="preserve"> </v>
      </c>
      <c r="E17" t="str">
        <f t="shared" si="0"/>
        <v xml:space="preserve"> c_Flipper_Right_Top:</v>
      </c>
      <c r="M17" t="s">
        <v>179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184</v>
      </c>
    </row>
    <row r="19" spans="2:13" x14ac:dyDescent="0.3">
      <c r="B19" t="str" cm="1">
        <f t="array" ref="B19:C26">'STM-card (1)'!E52:F59</f>
        <v>c_Slingshot_Left:</v>
      </c>
      <c r="C19" t="str">
        <v xml:space="preserve"> </v>
      </c>
      <c r="E19" t="str">
        <f t="shared" si="0"/>
        <v xml:space="preserve"> c_Slingshot_Left:</v>
      </c>
      <c r="M19" t="s">
        <v>181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186</v>
      </c>
    </row>
    <row r="21" spans="2:13" x14ac:dyDescent="0.3">
      <c r="B21" t="str">
        <v>c_Slingshot_Right:</v>
      </c>
      <c r="C21" t="str">
        <v xml:space="preserve"> </v>
      </c>
      <c r="E21" t="str">
        <f t="shared" si="0"/>
        <v xml:space="preserve"> c_Slingshot_Right:</v>
      </c>
      <c r="M21" t="s">
        <v>182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188</v>
      </c>
    </row>
    <row r="23" spans="2:13" x14ac:dyDescent="0.3">
      <c r="B23" t="str">
        <v>c_Drain:</v>
      </c>
      <c r="C23" t="str">
        <v xml:space="preserve"> </v>
      </c>
      <c r="E23" t="str">
        <f t="shared" si="0"/>
        <v xml:space="preserve"> c_Drain:</v>
      </c>
      <c r="M23" t="s">
        <v>183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290</v>
      </c>
    </row>
    <row r="25" spans="2:13" x14ac:dyDescent="0.3">
      <c r="B25" t="str">
        <v/>
      </c>
      <c r="C25" t="str">
        <v xml:space="preserve"> </v>
      </c>
      <c r="E25" t="str">
        <f t="shared" si="0"/>
        <v xml:space="preserve"> </v>
      </c>
      <c r="M25" t="s">
        <v>185</v>
      </c>
    </row>
    <row r="26" spans="2:13" x14ac:dyDescent="0.3">
      <c r="B26" t="str">
        <v xml:space="preserve"> </v>
      </c>
      <c r="C26" t="str">
        <v/>
      </c>
      <c r="E26" t="str">
        <f t="shared" si="0"/>
        <v xml:space="preserve">  </v>
      </c>
      <c r="M26" t="s">
        <v>291</v>
      </c>
    </row>
    <row r="27" spans="2:13" x14ac:dyDescent="0.3">
      <c r="B27" t="str" cm="1">
        <f t="array" ref="B27:C34">'STM-card (1)'!G52:H59</f>
        <v/>
      </c>
      <c r="C27" t="str">
        <v xml:space="preserve"> </v>
      </c>
      <c r="E27" t="str">
        <f t="shared" si="0"/>
        <v xml:space="preserve"> </v>
      </c>
      <c r="M27" t="s">
        <v>187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292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189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293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294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259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295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261</v>
      </c>
    </row>
    <row r="35" spans="2:13" x14ac:dyDescent="0.3">
      <c r="B35" t="str" cm="1">
        <f t="array" ref="B35:C42">'STM-card (2)'!A52:B59</f>
        <v/>
      </c>
      <c r="C35" t="str">
        <v xml:space="preserve"> </v>
      </c>
      <c r="E35" t="str">
        <f t="shared" si="0"/>
        <v xml:space="preserve"> </v>
      </c>
      <c r="M35" t="s">
        <v>296</v>
      </c>
    </row>
    <row r="36" spans="2:13" x14ac:dyDescent="0.3">
      <c r="B36" t="str">
        <v xml:space="preserve"> </v>
      </c>
      <c r="C36" t="str">
        <v/>
      </c>
      <c r="E36" t="str">
        <f t="shared" si="0"/>
        <v xml:space="preserve">  </v>
      </c>
      <c r="M36" t="s">
        <v>263</v>
      </c>
    </row>
    <row r="37" spans="2:13" x14ac:dyDescent="0.3">
      <c r="B37" t="str">
        <v/>
      </c>
      <c r="C37" t="str">
        <v xml:space="preserve"> </v>
      </c>
      <c r="E37" t="str">
        <f t="shared" si="0"/>
        <v xml:space="preserve"> </v>
      </c>
      <c r="M37" t="s">
        <v>297</v>
      </c>
    </row>
    <row r="38" spans="2:13" x14ac:dyDescent="0.3">
      <c r="B38" t="str">
        <v xml:space="preserve"> </v>
      </c>
      <c r="C38" t="str">
        <v/>
      </c>
      <c r="E38" t="str">
        <f t="shared" si="0"/>
        <v xml:space="preserve">  </v>
      </c>
      <c r="M38" t="s">
        <v>265</v>
      </c>
    </row>
    <row r="39" spans="2:13" x14ac:dyDescent="0.3">
      <c r="B39" t="str">
        <v/>
      </c>
      <c r="C39" t="str">
        <v xml:space="preserve"> </v>
      </c>
      <c r="E39" t="str">
        <f t="shared" si="0"/>
        <v xml:space="preserve"> </v>
      </c>
      <c r="M39" t="s">
        <v>315</v>
      </c>
    </row>
    <row r="40" spans="2:13" x14ac:dyDescent="0.3">
      <c r="B40" t="str">
        <v xml:space="preserve"> </v>
      </c>
      <c r="C40" t="str">
        <v/>
      </c>
      <c r="E40" t="str">
        <f t="shared" si="0"/>
        <v xml:space="preserve">  </v>
      </c>
      <c r="M40" t="s">
        <v>299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317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301</v>
      </c>
    </row>
    <row r="43" spans="2:13" x14ac:dyDescent="0.3">
      <c r="B43" t="str" cm="1">
        <f t="array" ref="B43:C50">'STM-card (2)'!C52:D59</f>
        <v>c_Left_Bumper:</v>
      </c>
      <c r="C43" t="str">
        <v xml:space="preserve"> </v>
      </c>
      <c r="E43" t="str">
        <f t="shared" si="0"/>
        <v xml:space="preserve"> c_Left_Bumper:</v>
      </c>
      <c r="M43" t="s">
        <v>319</v>
      </c>
    </row>
    <row r="44" spans="2:13" x14ac:dyDescent="0.3">
      <c r="B44" t="str">
        <v xml:space="preserve"> </v>
      </c>
      <c r="C44" t="str">
        <v>number: 2-0-4</v>
      </c>
      <c r="E44" t="str">
        <f t="shared" si="0"/>
        <v xml:space="preserve">  number: 2-0-4</v>
      </c>
      <c r="M44" t="s">
        <v>303</v>
      </c>
    </row>
    <row r="45" spans="2:13" x14ac:dyDescent="0.3">
      <c r="B45" t="str">
        <v>c_Right_Bumper:</v>
      </c>
      <c r="C45" t="str">
        <v xml:space="preserve"> </v>
      </c>
      <c r="E45" t="str">
        <f t="shared" si="0"/>
        <v xml:space="preserve"> c_Right_Bumper:</v>
      </c>
      <c r="M45" t="s">
        <v>321</v>
      </c>
    </row>
    <row r="46" spans="2:13" x14ac:dyDescent="0.3">
      <c r="B46" t="str">
        <v xml:space="preserve"> </v>
      </c>
      <c r="C46" t="str">
        <v>number: 2-0-5</v>
      </c>
      <c r="E46" t="str">
        <f t="shared" si="0"/>
        <v xml:space="preserve">  number: 2-0-5</v>
      </c>
      <c r="M46" t="s">
        <v>305</v>
      </c>
    </row>
    <row r="47" spans="2:13" x14ac:dyDescent="0.3">
      <c r="B47" t="str">
        <v>c_Top_Bumper:</v>
      </c>
      <c r="C47" t="str">
        <v xml:space="preserve"> </v>
      </c>
      <c r="E47" t="str">
        <f t="shared" si="0"/>
        <v xml:space="preserve"> c_Top_Bumper:</v>
      </c>
      <c r="M47" t="s">
        <v>298</v>
      </c>
    </row>
    <row r="48" spans="2:13" x14ac:dyDescent="0.3">
      <c r="B48" t="str">
        <v xml:space="preserve"> </v>
      </c>
      <c r="C48" t="str">
        <v>number: 2-0-6</v>
      </c>
      <c r="E48" t="str">
        <f t="shared" si="0"/>
        <v xml:space="preserve">  number: 2-0-6</v>
      </c>
      <c r="M48" t="s">
        <v>308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300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310</v>
      </c>
    </row>
    <row r="51" spans="2:13" x14ac:dyDescent="0.3">
      <c r="B51" t="str" cm="1">
        <f t="array" ref="B51:C58">'STM-card (2)'!E52:F59</f>
        <v/>
      </c>
      <c r="C51" t="str">
        <v xml:space="preserve"> </v>
      </c>
      <c r="E51" t="str">
        <f t="shared" si="0"/>
        <v xml:space="preserve"> </v>
      </c>
      <c r="M51" t="s">
        <v>302</v>
      </c>
    </row>
    <row r="52" spans="2:13" x14ac:dyDescent="0.3">
      <c r="B52" t="str">
        <v xml:space="preserve"> </v>
      </c>
      <c r="C52" t="str">
        <v/>
      </c>
      <c r="E52" t="str">
        <f t="shared" si="0"/>
        <v xml:space="preserve">  </v>
      </c>
      <c r="M52" t="s">
        <v>312</v>
      </c>
    </row>
    <row r="53" spans="2:13" x14ac:dyDescent="0.3">
      <c r="B53" t="str">
        <v/>
      </c>
      <c r="C53" t="str">
        <v xml:space="preserve"> </v>
      </c>
      <c r="E53" t="str">
        <f t="shared" si="0"/>
        <v xml:space="preserve"> </v>
      </c>
      <c r="M53" t="s">
        <v>304</v>
      </c>
    </row>
    <row r="54" spans="2:13" x14ac:dyDescent="0.3">
      <c r="B54" t="str">
        <v xml:space="preserve"> </v>
      </c>
      <c r="C54" t="str">
        <v/>
      </c>
      <c r="E54" t="str">
        <f t="shared" si="0"/>
        <v xml:space="preserve">  </v>
      </c>
      <c r="M54" t="s">
        <v>314</v>
      </c>
    </row>
    <row r="55" spans="2:13" x14ac:dyDescent="0.3">
      <c r="B55" t="str">
        <v/>
      </c>
      <c r="C55" t="str">
        <v xml:space="preserve"> </v>
      </c>
      <c r="E55" t="str">
        <f t="shared" si="0"/>
        <v xml:space="preserve"> </v>
      </c>
      <c r="M55" t="s">
        <v>307</v>
      </c>
    </row>
    <row r="56" spans="2:13" x14ac:dyDescent="0.3">
      <c r="B56" t="str">
        <v xml:space="preserve"> </v>
      </c>
      <c r="C56" t="str">
        <v/>
      </c>
      <c r="E56" t="str">
        <f t="shared" si="0"/>
        <v xml:space="preserve">  </v>
      </c>
      <c r="M56" t="s">
        <v>316</v>
      </c>
    </row>
    <row r="57" spans="2:13" x14ac:dyDescent="0.3">
      <c r="B57" t="str">
        <v/>
      </c>
      <c r="C57" t="str">
        <v xml:space="preserve"> </v>
      </c>
      <c r="E57" t="str">
        <f t="shared" si="0"/>
        <v xml:space="preserve"> </v>
      </c>
      <c r="M57" t="s">
        <v>309</v>
      </c>
    </row>
    <row r="58" spans="2:13" x14ac:dyDescent="0.3">
      <c r="B58" t="str">
        <v xml:space="preserve"> </v>
      </c>
      <c r="C58" t="str">
        <v/>
      </c>
      <c r="E58" t="str">
        <f t="shared" si="0"/>
        <v xml:space="preserve">  </v>
      </c>
      <c r="M58" t="s">
        <v>318</v>
      </c>
    </row>
    <row r="59" spans="2:13" x14ac:dyDescent="0.3">
      <c r="B59" t="str" cm="1">
        <f t="array" ref="B59:C66">'STM-card (2)'!G52:H59</f>
        <v/>
      </c>
      <c r="C59" t="str">
        <v xml:space="preserve"> </v>
      </c>
      <c r="E59" t="str">
        <f t="shared" si="0"/>
        <v xml:space="preserve"> </v>
      </c>
      <c r="M59" t="s">
        <v>311</v>
      </c>
    </row>
    <row r="60" spans="2:13" x14ac:dyDescent="0.3">
      <c r="B60" t="str">
        <v xml:space="preserve"> </v>
      </c>
      <c r="C60" t="str">
        <v/>
      </c>
      <c r="E60" t="str">
        <f t="shared" si="0"/>
        <v xml:space="preserve">  </v>
      </c>
      <c r="M60" t="s">
        <v>320</v>
      </c>
    </row>
    <row r="61" spans="2:13" x14ac:dyDescent="0.3">
      <c r="B61" t="str">
        <v/>
      </c>
      <c r="C61" t="str">
        <v xml:space="preserve"> </v>
      </c>
      <c r="E61" t="str">
        <f t="shared" si="0"/>
        <v xml:space="preserve"> </v>
      </c>
      <c r="M61" t="s">
        <v>313</v>
      </c>
    </row>
    <row r="62" spans="2:13" x14ac:dyDescent="0.3">
      <c r="B62" t="str">
        <v xml:space="preserve"> </v>
      </c>
      <c r="C62" t="str">
        <v/>
      </c>
      <c r="E62" t="str">
        <f t="shared" si="0"/>
        <v xml:space="preserve">  </v>
      </c>
      <c r="M62" t="s">
        <v>322</v>
      </c>
    </row>
    <row r="63" spans="2:13" x14ac:dyDescent="0.3">
      <c r="B63" t="str">
        <v/>
      </c>
      <c r="C63" t="str">
        <v xml:space="preserve"> </v>
      </c>
      <c r="E63" t="str">
        <f t="shared" si="0"/>
        <v xml:space="preserve"> </v>
      </c>
    </row>
    <row r="64" spans="2:13" x14ac:dyDescent="0.3">
      <c r="B64" t="str">
        <v xml:space="preserve"> </v>
      </c>
      <c r="C64" t="str">
        <v/>
      </c>
      <c r="E64" t="str">
        <f t="shared" si="0"/>
        <v xml:space="preserve">  </v>
      </c>
    </row>
    <row r="65" spans="2:5" x14ac:dyDescent="0.3">
      <c r="B65" t="str">
        <v/>
      </c>
      <c r="C65" t="str">
        <v xml:space="preserve"> </v>
      </c>
      <c r="E65" t="str">
        <f t="shared" si="0"/>
        <v xml:space="preserve"> </v>
      </c>
    </row>
    <row r="66" spans="2:5" x14ac:dyDescent="0.3">
      <c r="B66" t="str">
        <v xml:space="preserve"> </v>
      </c>
      <c r="C66" t="str">
        <v/>
      </c>
      <c r="E66" t="str">
        <f t="shared" si="0"/>
        <v xml:space="preserve">  </v>
      </c>
    </row>
    <row r="67" spans="2:5" x14ac:dyDescent="0.3">
      <c r="B67" t="str" cm="1">
        <f t="array" ref="B67:C74">'STM-card (3)'!A52:B59</f>
        <v/>
      </c>
      <c r="C67" t="str">
        <v xml:space="preserve"> </v>
      </c>
      <c r="E67" t="str">
        <f t="shared" si="0"/>
        <v xml:space="preserve"> </v>
      </c>
    </row>
    <row r="68" spans="2:5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</row>
    <row r="69" spans="2:5" x14ac:dyDescent="0.3">
      <c r="B69" t="str">
        <v/>
      </c>
      <c r="C69" t="str">
        <v xml:space="preserve"> </v>
      </c>
      <c r="E69" t="str">
        <f t="shared" si="1"/>
        <v xml:space="preserve"> </v>
      </c>
    </row>
    <row r="70" spans="2:5" x14ac:dyDescent="0.3">
      <c r="B70" t="str">
        <v xml:space="preserve"> </v>
      </c>
      <c r="C70" t="str">
        <v/>
      </c>
      <c r="E70" t="str">
        <f t="shared" si="1"/>
        <v xml:space="preserve">  </v>
      </c>
    </row>
    <row r="71" spans="2:5" x14ac:dyDescent="0.3">
      <c r="B71" t="str">
        <v/>
      </c>
      <c r="C71" t="str">
        <v xml:space="preserve"> </v>
      </c>
      <c r="E71" t="str">
        <f t="shared" si="1"/>
        <v xml:space="preserve"> </v>
      </c>
    </row>
    <row r="72" spans="2:5" x14ac:dyDescent="0.3">
      <c r="B72" t="str">
        <v xml:space="preserve"> </v>
      </c>
      <c r="C72" t="str">
        <v/>
      </c>
      <c r="E72" t="str">
        <f t="shared" si="1"/>
        <v xml:space="preserve">  </v>
      </c>
    </row>
    <row r="73" spans="2:5" x14ac:dyDescent="0.3">
      <c r="B73" t="str">
        <v/>
      </c>
      <c r="C73" t="str">
        <v xml:space="preserve"> </v>
      </c>
      <c r="E73" t="str">
        <f t="shared" si="1"/>
        <v xml:space="preserve"> </v>
      </c>
    </row>
    <row r="74" spans="2:5" x14ac:dyDescent="0.3">
      <c r="B74" t="str">
        <v xml:space="preserve"> </v>
      </c>
      <c r="C74" t="str">
        <v/>
      </c>
      <c r="E74" t="str">
        <f t="shared" si="1"/>
        <v xml:space="preserve">  </v>
      </c>
    </row>
    <row r="75" spans="2:5" x14ac:dyDescent="0.3">
      <c r="B75" t="str" cm="1">
        <f t="array" ref="B75:C82">'STM-card (3)'!C52:D59</f>
        <v>c_Chime_1:</v>
      </c>
      <c r="C75" t="str">
        <v xml:space="preserve"> </v>
      </c>
      <c r="E75" t="str">
        <f t="shared" si="1"/>
        <v xml:space="preserve"> c_Chime_1:</v>
      </c>
    </row>
    <row r="76" spans="2:5" x14ac:dyDescent="0.3">
      <c r="B76" t="str">
        <v xml:space="preserve"> </v>
      </c>
      <c r="C76" t="str">
        <v>number: 3-0-4</v>
      </c>
      <c r="E76" t="str">
        <f t="shared" si="1"/>
        <v xml:space="preserve">  number: 3-0-4</v>
      </c>
    </row>
    <row r="77" spans="2:5" x14ac:dyDescent="0.3">
      <c r="B77" t="str">
        <v>c_Chime_2:</v>
      </c>
      <c r="C77" t="str">
        <v xml:space="preserve"> </v>
      </c>
      <c r="E77" t="str">
        <f t="shared" si="1"/>
        <v xml:space="preserve"> c_Chime_2:</v>
      </c>
    </row>
    <row r="78" spans="2:5" x14ac:dyDescent="0.3">
      <c r="B78" t="str">
        <v xml:space="preserve"> </v>
      </c>
      <c r="C78" t="str">
        <v>number: 3-0-5</v>
      </c>
      <c r="E78" t="str">
        <f t="shared" si="1"/>
        <v xml:space="preserve">  number: 3-0-5</v>
      </c>
    </row>
    <row r="79" spans="2:5" x14ac:dyDescent="0.3">
      <c r="B79" t="str">
        <v>c_Chime_3:</v>
      </c>
      <c r="C79" t="str">
        <v xml:space="preserve"> </v>
      </c>
      <c r="E79" t="str">
        <f t="shared" si="1"/>
        <v xml:space="preserve"> c_Chime_3:</v>
      </c>
    </row>
    <row r="80" spans="2:5" x14ac:dyDescent="0.3">
      <c r="B80" t="str">
        <v xml:space="preserve"> </v>
      </c>
      <c r="C80" t="str">
        <v>number: 3-0-6</v>
      </c>
      <c r="E80" t="str">
        <f t="shared" si="1"/>
        <v xml:space="preserve">  number: 3-0-6</v>
      </c>
    </row>
    <row r="81" spans="2:5" x14ac:dyDescent="0.3">
      <c r="B81" t="str">
        <v>c_Knocker:</v>
      </c>
      <c r="C81" t="str">
        <v xml:space="preserve"> </v>
      </c>
      <c r="E81" t="str">
        <f t="shared" si="1"/>
        <v xml:space="preserve"> c_Knocker:</v>
      </c>
    </row>
    <row r="82" spans="2:5" x14ac:dyDescent="0.3">
      <c r="B82" t="str">
        <v xml:space="preserve"> </v>
      </c>
      <c r="C82" t="str">
        <v>number: 3-0-7</v>
      </c>
      <c r="E82" t="str">
        <f t="shared" si="1"/>
        <v xml:space="preserve">  number: 3-0-7</v>
      </c>
    </row>
    <row r="83" spans="2:5" x14ac:dyDescent="0.3">
      <c r="B83" t="str" cm="1">
        <f t="array" ref="B83:C90">'STM-card (3)'!E52:F59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 cm="1">
        <f t="array" ref="B91:C98">'STM-card (3)'!G52:H59</f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06">'STM-card (4)'!A52:B59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 cm="1">
        <f t="array" ref="B107:C114">'STM-card (4)'!C52:D59</f>
        <v/>
      </c>
      <c r="C107" t="str">
        <v xml:space="preserve"> </v>
      </c>
      <c r="E107" t="str">
        <f t="shared" si="1"/>
        <v xml:space="preserve"> </v>
      </c>
    </row>
    <row r="108" spans="2:5" x14ac:dyDescent="0.3">
      <c r="B108" t="str">
        <v xml:space="preserve"> </v>
      </c>
      <c r="C108" t="str">
        <v/>
      </c>
      <c r="E108" t="str">
        <f t="shared" si="1"/>
        <v xml:space="preserve">  </v>
      </c>
    </row>
    <row r="109" spans="2:5" x14ac:dyDescent="0.3">
      <c r="B109" t="str">
        <v/>
      </c>
      <c r="C109" t="str">
        <v xml:space="preserve"> </v>
      </c>
      <c r="E109" t="str">
        <f t="shared" si="1"/>
        <v xml:space="preserve"> </v>
      </c>
    </row>
    <row r="110" spans="2:5" x14ac:dyDescent="0.3">
      <c r="B110" t="str">
        <v xml:space="preserve"> </v>
      </c>
      <c r="C110" t="str">
        <v/>
      </c>
      <c r="E110" t="str">
        <f t="shared" si="1"/>
        <v xml:space="preserve">  </v>
      </c>
    </row>
    <row r="111" spans="2:5" x14ac:dyDescent="0.3">
      <c r="B111" t="str">
        <v/>
      </c>
      <c r="C111" t="str">
        <v xml:space="preserve"> </v>
      </c>
      <c r="E111" t="str">
        <f t="shared" si="1"/>
        <v xml:space="preserve"> </v>
      </c>
    </row>
    <row r="112" spans="2:5" x14ac:dyDescent="0.3">
      <c r="B112" t="str">
        <v xml:space="preserve"> </v>
      </c>
      <c r="C112" t="str">
        <v/>
      </c>
      <c r="E112" t="str">
        <f t="shared" si="1"/>
        <v xml:space="preserve">  </v>
      </c>
    </row>
    <row r="113" spans="2:5" x14ac:dyDescent="0.3">
      <c r="B113" t="str">
        <v/>
      </c>
      <c r="C113" t="str">
        <v xml:space="preserve"> </v>
      </c>
      <c r="E113" t="str">
        <f t="shared" si="1"/>
        <v xml:space="preserve"> </v>
      </c>
    </row>
    <row r="114" spans="2:5" x14ac:dyDescent="0.3">
      <c r="B114" t="str">
        <v xml:space="preserve"> </v>
      </c>
      <c r="C114" t="str">
        <v/>
      </c>
      <c r="E114" t="str">
        <f t="shared" si="1"/>
        <v xml:space="preserve">  </v>
      </c>
    </row>
    <row r="115" spans="2:5" x14ac:dyDescent="0.3">
      <c r="B115" t="str" cm="1">
        <f t="array" ref="B115:C122">'STM-card (4)'!E52:F59</f>
        <v>c_score_1p_10:</v>
      </c>
      <c r="C115" t="str">
        <v xml:space="preserve"> </v>
      </c>
      <c r="E115" t="str">
        <f t="shared" si="1"/>
        <v xml:space="preserve"> c_score_1p_10:</v>
      </c>
    </row>
    <row r="116" spans="2:5" x14ac:dyDescent="0.3">
      <c r="B116" t="str">
        <v xml:space="preserve"> </v>
      </c>
      <c r="C116" t="str">
        <v>number: 4-0-8</v>
      </c>
      <c r="E116" t="str">
        <f t="shared" si="1"/>
        <v xml:space="preserve">  number: 4-0-8</v>
      </c>
    </row>
    <row r="117" spans="2:5" x14ac:dyDescent="0.3">
      <c r="B117" t="str">
        <v>c_score_1p_100:</v>
      </c>
      <c r="C117" t="str">
        <v xml:space="preserve"> </v>
      </c>
      <c r="E117" t="str">
        <f t="shared" si="1"/>
        <v xml:space="preserve"> c_score_1p_100:</v>
      </c>
    </row>
    <row r="118" spans="2:5" x14ac:dyDescent="0.3">
      <c r="B118" t="str">
        <v xml:space="preserve"> </v>
      </c>
      <c r="C118" t="str">
        <v>number: 4-0-9</v>
      </c>
      <c r="E118" t="str">
        <f t="shared" si="1"/>
        <v xml:space="preserve">  number: 4-0-9</v>
      </c>
    </row>
    <row r="119" spans="2:5" x14ac:dyDescent="0.3">
      <c r="B119" t="str">
        <v>c_score_1p_1k:</v>
      </c>
      <c r="C119" t="str">
        <v xml:space="preserve"> </v>
      </c>
      <c r="E119" t="str">
        <f t="shared" si="1"/>
        <v xml:space="preserve"> c_score_1p_1k:</v>
      </c>
    </row>
    <row r="120" spans="2:5" x14ac:dyDescent="0.3">
      <c r="B120" t="str">
        <v xml:space="preserve"> </v>
      </c>
      <c r="C120" t="str">
        <v>number: 4-0-10</v>
      </c>
      <c r="E120" t="str">
        <f t="shared" si="1"/>
        <v xml:space="preserve">  number: 4-0-10</v>
      </c>
    </row>
    <row r="121" spans="2:5" x14ac:dyDescent="0.3">
      <c r="B121" t="str">
        <v>c_score_1p_10k:</v>
      </c>
      <c r="C121" t="str">
        <v xml:space="preserve"> </v>
      </c>
      <c r="E121" t="str">
        <f t="shared" si="1"/>
        <v xml:space="preserve"> c_score_1p_10k:</v>
      </c>
    </row>
    <row r="122" spans="2:5" x14ac:dyDescent="0.3">
      <c r="B122" t="str">
        <v xml:space="preserve"> </v>
      </c>
      <c r="C122" t="str">
        <v>number: 4-0-11</v>
      </c>
      <c r="E122" t="str">
        <f t="shared" si="1"/>
        <v xml:space="preserve">  number: 4-0-11</v>
      </c>
    </row>
    <row r="123" spans="2:5" x14ac:dyDescent="0.3">
      <c r="B123" t="str" cm="1">
        <f t="array" ref="B123:C130">'STM-card (4)'!G52:H59</f>
        <v>c_score_3p_10:</v>
      </c>
      <c r="C123" t="str">
        <v xml:space="preserve"> </v>
      </c>
      <c r="E123" t="str">
        <f t="shared" si="1"/>
        <v xml:space="preserve"> c_score_3p_10:</v>
      </c>
    </row>
    <row r="124" spans="2:5" x14ac:dyDescent="0.3">
      <c r="B124" t="str">
        <v xml:space="preserve"> </v>
      </c>
      <c r="C124" t="str">
        <v>number: 4-0-12</v>
      </c>
      <c r="E124" t="str">
        <f t="shared" si="1"/>
        <v xml:space="preserve">  number: 4-0-12</v>
      </c>
    </row>
    <row r="125" spans="2:5" x14ac:dyDescent="0.3">
      <c r="B125" t="str">
        <v>c_score_3p_100:</v>
      </c>
      <c r="C125" t="str">
        <v xml:space="preserve"> </v>
      </c>
      <c r="E125" t="str">
        <f t="shared" si="1"/>
        <v xml:space="preserve"> c_score_3p_100:</v>
      </c>
    </row>
    <row r="126" spans="2:5" x14ac:dyDescent="0.3">
      <c r="B126" t="str">
        <v xml:space="preserve"> </v>
      </c>
      <c r="C126" t="str">
        <v>number: 4-0-13</v>
      </c>
      <c r="E126" t="str">
        <f t="shared" si="1"/>
        <v xml:space="preserve">  number: 4-0-13</v>
      </c>
    </row>
    <row r="127" spans="2:5" x14ac:dyDescent="0.3">
      <c r="B127" t="str">
        <v>c_score_3p_1k:</v>
      </c>
      <c r="C127" t="str">
        <v xml:space="preserve"> </v>
      </c>
      <c r="E127" t="str">
        <f t="shared" si="1"/>
        <v xml:space="preserve"> c_score_3p_1k:</v>
      </c>
    </row>
    <row r="128" spans="2:5" x14ac:dyDescent="0.3">
      <c r="B128" t="str">
        <v xml:space="preserve"> </v>
      </c>
      <c r="C128" t="str">
        <v>number: 4-0-14</v>
      </c>
      <c r="E128" t="str">
        <f t="shared" si="1"/>
        <v xml:space="preserve">  number: 4-0-14</v>
      </c>
    </row>
    <row r="129" spans="2:5" x14ac:dyDescent="0.3">
      <c r="B129" t="str">
        <v>c_score_3p_10k:</v>
      </c>
      <c r="C129" t="str">
        <v xml:space="preserve"> </v>
      </c>
      <c r="E129" t="str">
        <f t="shared" si="1"/>
        <v xml:space="preserve"> c_score_3p_10k:</v>
      </c>
    </row>
    <row r="130" spans="2:5" x14ac:dyDescent="0.3">
      <c r="B130" t="str">
        <v xml:space="preserve"> </v>
      </c>
      <c r="C130" t="str">
        <v>number: 4-0-15</v>
      </c>
      <c r="E130" t="str">
        <f t="shared" si="1"/>
        <v xml:space="preserve">  number: 4-0-15</v>
      </c>
    </row>
    <row r="131" spans="2:5" x14ac:dyDescent="0.3">
      <c r="B131" t="str" cm="1">
        <f t="array" ref="B131:C138">'STM-card (5)'!A52:B59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 cm="1">
        <f t="array" ref="B139:C146">'STM-card (5)'!C52:D59</f>
        <v>c_score_2p_10:</v>
      </c>
      <c r="C139" t="str">
        <v xml:space="preserve"> </v>
      </c>
      <c r="E139" t="str">
        <f t="shared" si="2"/>
        <v xml:space="preserve"> c_score_2p_10:</v>
      </c>
    </row>
    <row r="140" spans="2:5" x14ac:dyDescent="0.3">
      <c r="B140" t="str">
        <v xml:space="preserve"> </v>
      </c>
      <c r="C140" t="str">
        <v>number: 5-0-4</v>
      </c>
      <c r="E140" t="str">
        <f t="shared" si="2"/>
        <v xml:space="preserve">  number: 5-0-4</v>
      </c>
    </row>
    <row r="141" spans="2:5" x14ac:dyDescent="0.3">
      <c r="B141" t="str">
        <v>c_score_2p_100:</v>
      </c>
      <c r="C141" t="str">
        <v xml:space="preserve"> </v>
      </c>
      <c r="E141" t="str">
        <f t="shared" si="2"/>
        <v xml:space="preserve"> c_score_2p_100:</v>
      </c>
    </row>
    <row r="142" spans="2:5" x14ac:dyDescent="0.3">
      <c r="B142" t="str">
        <v xml:space="preserve"> </v>
      </c>
      <c r="C142" t="str">
        <v>number: 5-0-5</v>
      </c>
      <c r="E142" t="str">
        <f t="shared" si="2"/>
        <v xml:space="preserve">  number: 5-0-5</v>
      </c>
    </row>
    <row r="143" spans="2:5" x14ac:dyDescent="0.3">
      <c r="B143" t="str">
        <v>c_score_2p_1k:</v>
      </c>
      <c r="C143" t="str">
        <v xml:space="preserve"> </v>
      </c>
      <c r="E143" t="str">
        <f t="shared" si="2"/>
        <v xml:space="preserve"> c_score_2p_1k:</v>
      </c>
    </row>
    <row r="144" spans="2:5" x14ac:dyDescent="0.3">
      <c r="B144" t="str">
        <v xml:space="preserve"> </v>
      </c>
      <c r="C144" t="str">
        <v>number: 5-0-6</v>
      </c>
      <c r="E144" t="str">
        <f t="shared" si="2"/>
        <v xml:space="preserve">  number: 5-0-6</v>
      </c>
    </row>
    <row r="145" spans="2:5" x14ac:dyDescent="0.3">
      <c r="B145" t="str">
        <v>c_score_2p_10k:</v>
      </c>
      <c r="C145" t="str">
        <v xml:space="preserve"> </v>
      </c>
      <c r="E145" t="str">
        <f t="shared" si="2"/>
        <v xml:space="preserve"> c_score_2p_10k:</v>
      </c>
    </row>
    <row r="146" spans="2:5" x14ac:dyDescent="0.3">
      <c r="B146" t="str">
        <v xml:space="preserve"> </v>
      </c>
      <c r="C146" t="str">
        <v>number: 5-0-7</v>
      </c>
      <c r="E146" t="str">
        <f t="shared" si="2"/>
        <v xml:space="preserve">  number: 5-0-7</v>
      </c>
    </row>
    <row r="147" spans="2:5" x14ac:dyDescent="0.3">
      <c r="B147" t="str" cm="1">
        <f t="array" ref="B147:C154">'STM-card (5)'!E52:F59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 cm="1">
        <f t="array" ref="B155:C162">'STM-card (5)'!G52:H59</f>
        <v>c_score_4p_10:</v>
      </c>
      <c r="C155" t="str">
        <v xml:space="preserve"> </v>
      </c>
      <c r="E155" t="str">
        <f t="shared" si="2"/>
        <v xml:space="preserve"> c_score_4p_10:</v>
      </c>
    </row>
    <row r="156" spans="2:5" x14ac:dyDescent="0.3">
      <c r="B156" t="str">
        <v xml:space="preserve"> </v>
      </c>
      <c r="C156" t="str">
        <v>number: 5-0-12</v>
      </c>
      <c r="E156" t="str">
        <f t="shared" si="2"/>
        <v xml:space="preserve">  number: 5-0-12</v>
      </c>
    </row>
    <row r="157" spans="2:5" x14ac:dyDescent="0.3">
      <c r="B157" t="str">
        <v>c_score_4p_100:</v>
      </c>
      <c r="C157" t="str">
        <v xml:space="preserve"> </v>
      </c>
      <c r="E157" t="str">
        <f t="shared" si="2"/>
        <v xml:space="preserve"> c_score_4p_100:</v>
      </c>
    </row>
    <row r="158" spans="2:5" x14ac:dyDescent="0.3">
      <c r="B158" t="str">
        <v xml:space="preserve"> </v>
      </c>
      <c r="C158" t="str">
        <v>number: 5-0-13</v>
      </c>
      <c r="E158" t="str">
        <f t="shared" si="2"/>
        <v xml:space="preserve">  number: 5-0-13</v>
      </c>
    </row>
    <row r="159" spans="2:5" x14ac:dyDescent="0.3">
      <c r="B159" t="str">
        <v>c_score_4p_1k:</v>
      </c>
      <c r="C159" t="str">
        <v xml:space="preserve"> </v>
      </c>
      <c r="E159" t="str">
        <f t="shared" si="2"/>
        <v xml:space="preserve"> c_score_4p_1k:</v>
      </c>
    </row>
    <row r="160" spans="2:5" x14ac:dyDescent="0.3">
      <c r="B160" t="str">
        <v xml:space="preserve"> </v>
      </c>
      <c r="C160" t="str">
        <v>number: 5-0-14</v>
      </c>
      <c r="E160" t="str">
        <f t="shared" si="2"/>
        <v xml:space="preserve">  number: 5-0-14</v>
      </c>
    </row>
    <row r="161" spans="2:5" x14ac:dyDescent="0.3">
      <c r="B161" t="str">
        <v>c_score_4p_10k:</v>
      </c>
      <c r="C161" t="str">
        <v xml:space="preserve"> </v>
      </c>
      <c r="E161" t="str">
        <f t="shared" si="2"/>
        <v xml:space="preserve"> c_score_4p_10k:</v>
      </c>
    </row>
    <row r="162" spans="2:5" x14ac:dyDescent="0.3">
      <c r="B162" t="str">
        <v xml:space="preserve"> </v>
      </c>
      <c r="C162" t="str">
        <v>number: 5-0-15</v>
      </c>
      <c r="E162" t="str">
        <f t="shared" si="2"/>
        <v xml:space="preserve">  number: 5-0-15</v>
      </c>
    </row>
    <row r="163" spans="2:5" x14ac:dyDescent="0.3">
      <c r="B163" t="str" cm="1">
        <f t="array" ref="B163:C170">'STM-card (6)'!A52:B59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 cm="1">
        <f t="array" ref="B171:C178">'STM-card (6)'!C52:D59</f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86">'STM-card (6)'!E52:F59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 cm="1">
        <f t="array" ref="B187:C194">'STM-card (6)'!G52:H59</f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02">'STM-card (7)'!A52:B59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8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 cm="1">
        <f t="array" ref="B203:C210">'STM-card (7)'!C52:D59</f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18">'STM-card (7)'!E52:F59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 cm="1">
        <f t="array" ref="B219:C226">'STM-card (7)'!G52:H59</f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34">'STM-card (8)'!A52:B59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 cm="1">
        <f t="array" ref="B235:C242">'STM-card (8)'!C52:D59</f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0">'STM-card (8)'!E52:F59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 cm="1">
        <f t="array" ref="B251:C258">'STM-card (8)'!G52:H59</f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ick_coils">
                <anchor moveWithCells="1" sizeWithCells="1">
                  <from>
                    <xdr:col>7</xdr:col>
                    <xdr:colOff>502920</xdr:colOff>
                    <xdr:row>0</xdr:row>
                    <xdr:rowOff>22860</xdr:rowOff>
                  </from>
                  <to>
                    <xdr:col>11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27033-CDD3-429C-9DB5-42F929C1A508}">
  <sheetPr codeName="Feuil12"/>
  <dimension ref="A1:M514"/>
  <sheetViews>
    <sheetView topLeftCell="A44" workbookViewId="0">
      <selection activeCell="M2" sqref="M2:M77"/>
    </sheetView>
  </sheetViews>
  <sheetFormatPr baseColWidth="10" defaultRowHeight="14.4" x14ac:dyDescent="0.3"/>
  <cols>
    <col min="1" max="1" width="9.33203125" bestFit="1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51</v>
      </c>
      <c r="E2" t="str">
        <f>A2</f>
        <v>lights:</v>
      </c>
      <c r="M2" t="s">
        <v>51</v>
      </c>
    </row>
    <row r="3" spans="1:13" x14ac:dyDescent="0.3">
      <c r="B3" t="str" cm="1">
        <f t="array" ref="B3:C18">'STM-card (1)'!A63:B78</f>
        <v/>
      </c>
      <c r="C3" t="str">
        <v xml:space="preserve"> </v>
      </c>
      <c r="E3" t="str">
        <f>IF((C3=" ")," "&amp;B3,"  "&amp;C3)</f>
        <v xml:space="preserve"> </v>
      </c>
      <c r="M3" t="s">
        <v>328</v>
      </c>
    </row>
    <row r="4" spans="1:13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  <c r="M4" t="s">
        <v>328</v>
      </c>
    </row>
    <row r="5" spans="1:13" x14ac:dyDescent="0.3">
      <c r="B5" t="str">
        <v/>
      </c>
      <c r="C5" t="str">
        <v xml:space="preserve"> </v>
      </c>
      <c r="E5" t="str">
        <f t="shared" si="0"/>
        <v xml:space="preserve"> </v>
      </c>
      <c r="M5" t="s">
        <v>328</v>
      </c>
    </row>
    <row r="6" spans="1:13" x14ac:dyDescent="0.3">
      <c r="B6" t="str">
        <v xml:space="preserve"> </v>
      </c>
      <c r="C6" t="str">
        <v/>
      </c>
      <c r="E6" t="str">
        <f t="shared" si="0"/>
        <v xml:space="preserve">  </v>
      </c>
      <c r="M6" t="s">
        <v>348</v>
      </c>
    </row>
    <row r="7" spans="1:13" x14ac:dyDescent="0.3">
      <c r="B7" t="str">
        <v/>
      </c>
      <c r="C7" t="str">
        <v xml:space="preserve"> </v>
      </c>
      <c r="E7" t="str">
        <f t="shared" si="0"/>
        <v xml:space="preserve"> </v>
      </c>
      <c r="M7" t="s">
        <v>329</v>
      </c>
    </row>
    <row r="8" spans="1:13" x14ac:dyDescent="0.3">
      <c r="B8" t="str">
        <v xml:space="preserve"> </v>
      </c>
      <c r="C8" t="str">
        <v/>
      </c>
      <c r="E8" t="str">
        <f t="shared" si="0"/>
        <v xml:space="preserve">  </v>
      </c>
      <c r="M8" t="s">
        <v>349</v>
      </c>
    </row>
    <row r="9" spans="1:13" x14ac:dyDescent="0.3">
      <c r="B9" t="str">
        <v/>
      </c>
      <c r="C9" t="str">
        <v xml:space="preserve"> </v>
      </c>
      <c r="E9" t="str">
        <f t="shared" si="0"/>
        <v xml:space="preserve"> </v>
      </c>
      <c r="M9" t="s">
        <v>350</v>
      </c>
    </row>
    <row r="10" spans="1:13" x14ac:dyDescent="0.3">
      <c r="B10" t="str">
        <v xml:space="preserve"> </v>
      </c>
      <c r="C10" t="str">
        <v/>
      </c>
      <c r="E10" t="str">
        <f t="shared" si="0"/>
        <v xml:space="preserve">  </v>
      </c>
      <c r="M10" t="s">
        <v>351</v>
      </c>
    </row>
    <row r="11" spans="1:13" x14ac:dyDescent="0.3">
      <c r="B11" t="str">
        <v>lights:</v>
      </c>
      <c r="C11" t="str">
        <v xml:space="preserve"> </v>
      </c>
      <c r="E11" t="str">
        <f t="shared" si="0"/>
        <v xml:space="preserve"> lights:</v>
      </c>
      <c r="M11" t="s">
        <v>330</v>
      </c>
    </row>
    <row r="12" spans="1:13" x14ac:dyDescent="0.3">
      <c r="B12" t="str">
        <v xml:space="preserve"> </v>
      </c>
      <c r="C12" t="str">
        <v/>
      </c>
      <c r="E12" t="str">
        <f t="shared" si="0"/>
        <v xml:space="preserve">  </v>
      </c>
      <c r="M12" t="s">
        <v>352</v>
      </c>
    </row>
    <row r="13" spans="1:13" x14ac:dyDescent="0.3">
      <c r="B13" t="str">
        <v/>
      </c>
      <c r="C13" t="str">
        <v xml:space="preserve"> </v>
      </c>
      <c r="E13" t="str">
        <f t="shared" si="0"/>
        <v xml:space="preserve"> </v>
      </c>
      <c r="M13" t="s">
        <v>331</v>
      </c>
    </row>
    <row r="14" spans="1:13" x14ac:dyDescent="0.3">
      <c r="B14" t="str">
        <v xml:space="preserve"> </v>
      </c>
      <c r="C14" t="str">
        <v/>
      </c>
      <c r="E14" t="str">
        <f t="shared" si="0"/>
        <v xml:space="preserve">  </v>
      </c>
      <c r="M14" t="s">
        <v>353</v>
      </c>
    </row>
    <row r="15" spans="1:13" x14ac:dyDescent="0.3">
      <c r="B15" t="str">
        <v/>
      </c>
      <c r="C15" t="str">
        <v xml:space="preserve"> </v>
      </c>
      <c r="E15" t="str">
        <f t="shared" si="0"/>
        <v xml:space="preserve"> </v>
      </c>
      <c r="M15" t="s">
        <v>332</v>
      </c>
    </row>
    <row r="16" spans="1:13" x14ac:dyDescent="0.3">
      <c r="B16" t="str">
        <v xml:space="preserve"> </v>
      </c>
      <c r="C16" t="str">
        <v/>
      </c>
      <c r="E16" t="str">
        <f t="shared" si="0"/>
        <v xml:space="preserve">  </v>
      </c>
      <c r="M16" t="s">
        <v>354</v>
      </c>
    </row>
    <row r="17" spans="2:13" x14ac:dyDescent="0.3">
      <c r="B17" t="str">
        <v/>
      </c>
      <c r="C17" t="str">
        <v xml:space="preserve"> </v>
      </c>
      <c r="E17" t="str">
        <f t="shared" si="0"/>
        <v xml:space="preserve"> </v>
      </c>
      <c r="M17" t="s">
        <v>333</v>
      </c>
    </row>
    <row r="18" spans="2:13" x14ac:dyDescent="0.3">
      <c r="B18" t="str">
        <v xml:space="preserve"> </v>
      </c>
      <c r="C18" t="str">
        <v/>
      </c>
      <c r="E18" t="str">
        <f t="shared" si="0"/>
        <v xml:space="preserve">  </v>
      </c>
      <c r="M18" t="s">
        <v>338</v>
      </c>
    </row>
    <row r="19" spans="2:13" x14ac:dyDescent="0.3">
      <c r="B19" t="str" cm="1">
        <f t="array" ref="B19:C34">'STM-card (1)'!C63:D78</f>
        <v/>
      </c>
      <c r="C19" t="str">
        <v xml:space="preserve"> </v>
      </c>
      <c r="E19" t="str">
        <f t="shared" si="0"/>
        <v xml:space="preserve"> </v>
      </c>
      <c r="M19" t="s">
        <v>355</v>
      </c>
    </row>
    <row r="20" spans="2:13" x14ac:dyDescent="0.3">
      <c r="B20" t="str">
        <v xml:space="preserve"> </v>
      </c>
      <c r="C20" t="str">
        <v/>
      </c>
      <c r="E20" t="str">
        <f t="shared" si="0"/>
        <v xml:space="preserve">  </v>
      </c>
      <c r="M20" t="s">
        <v>339</v>
      </c>
    </row>
    <row r="21" spans="2:13" x14ac:dyDescent="0.3">
      <c r="B21" t="str">
        <v/>
      </c>
      <c r="C21" t="str">
        <v xml:space="preserve"> </v>
      </c>
      <c r="E21" t="str">
        <f t="shared" si="0"/>
        <v xml:space="preserve"> </v>
      </c>
      <c r="M21" t="s">
        <v>356</v>
      </c>
    </row>
    <row r="22" spans="2:13" x14ac:dyDescent="0.3">
      <c r="B22" t="str">
        <v xml:space="preserve"> </v>
      </c>
      <c r="C22" t="str">
        <v/>
      </c>
      <c r="E22" t="str">
        <f t="shared" si="0"/>
        <v xml:space="preserve">  </v>
      </c>
      <c r="M22" t="s">
        <v>357</v>
      </c>
    </row>
    <row r="23" spans="2:13" x14ac:dyDescent="0.3">
      <c r="B23" t="str">
        <v/>
      </c>
      <c r="C23" t="str">
        <v xml:space="preserve"> </v>
      </c>
      <c r="E23" t="str">
        <f t="shared" si="0"/>
        <v xml:space="preserve"> </v>
      </c>
      <c r="M23" t="s">
        <v>358</v>
      </c>
    </row>
    <row r="24" spans="2:13" x14ac:dyDescent="0.3">
      <c r="B24" t="str">
        <v xml:space="preserve"> </v>
      </c>
      <c r="C24" t="str">
        <v/>
      </c>
      <c r="E24" t="str">
        <f t="shared" si="0"/>
        <v xml:space="preserve">  </v>
      </c>
      <c r="M24" t="s">
        <v>340</v>
      </c>
    </row>
    <row r="25" spans="2:13" x14ac:dyDescent="0.3">
      <c r="B25" t="str">
        <v/>
      </c>
      <c r="C25" t="str">
        <v xml:space="preserve"> </v>
      </c>
      <c r="E25" t="str">
        <f t="shared" si="0"/>
        <v xml:space="preserve"> </v>
      </c>
      <c r="M25" t="s">
        <v>359</v>
      </c>
    </row>
    <row r="26" spans="2:13" x14ac:dyDescent="0.3">
      <c r="B26" t="str">
        <v xml:space="preserve"> </v>
      </c>
      <c r="C26" t="str">
        <v/>
      </c>
      <c r="E26" t="str">
        <f t="shared" si="0"/>
        <v xml:space="preserve">  </v>
      </c>
      <c r="M26" t="s">
        <v>341</v>
      </c>
    </row>
    <row r="27" spans="2:13" x14ac:dyDescent="0.3">
      <c r="B27" t="str">
        <v/>
      </c>
      <c r="C27" t="str">
        <v xml:space="preserve"> </v>
      </c>
      <c r="E27" t="str">
        <f t="shared" si="0"/>
        <v xml:space="preserve"> </v>
      </c>
      <c r="M27" t="s">
        <v>360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342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361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343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362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344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363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364</v>
      </c>
    </row>
    <row r="35" spans="2:13" x14ac:dyDescent="0.3">
      <c r="B35" t="str" cm="1">
        <f t="array" ref="B35:C50">'STM-card (1)'!E63:F78</f>
        <v/>
      </c>
      <c r="C35" t="str">
        <v xml:space="preserve"> </v>
      </c>
      <c r="E35" t="str">
        <f t="shared" si="0"/>
        <v xml:space="preserve"> </v>
      </c>
      <c r="M35" t="s">
        <v>365</v>
      </c>
    </row>
    <row r="36" spans="2:13" x14ac:dyDescent="0.3">
      <c r="B36" t="str">
        <v xml:space="preserve"> </v>
      </c>
      <c r="C36" t="str">
        <v/>
      </c>
      <c r="E36" t="str">
        <f t="shared" si="0"/>
        <v xml:space="preserve">  </v>
      </c>
      <c r="M36" t="s">
        <v>366</v>
      </c>
    </row>
    <row r="37" spans="2:13" x14ac:dyDescent="0.3">
      <c r="B37" t="str">
        <v/>
      </c>
      <c r="C37" t="str">
        <v xml:space="preserve"> </v>
      </c>
      <c r="E37" t="str">
        <f t="shared" si="0"/>
        <v xml:space="preserve"> </v>
      </c>
      <c r="M37" t="s">
        <v>367</v>
      </c>
    </row>
    <row r="38" spans="2:13" x14ac:dyDescent="0.3">
      <c r="B38" t="str">
        <v xml:space="preserve"> </v>
      </c>
      <c r="C38" t="str">
        <v/>
      </c>
      <c r="E38" t="str">
        <f t="shared" si="0"/>
        <v xml:space="preserve">  </v>
      </c>
      <c r="M38" t="s">
        <v>368</v>
      </c>
    </row>
    <row r="39" spans="2:13" x14ac:dyDescent="0.3">
      <c r="B39" t="str">
        <v/>
      </c>
      <c r="C39" t="str">
        <v xml:space="preserve"> </v>
      </c>
      <c r="E39" t="str">
        <f t="shared" si="0"/>
        <v xml:space="preserve"> </v>
      </c>
      <c r="M39" t="s">
        <v>369</v>
      </c>
    </row>
    <row r="40" spans="2:13" x14ac:dyDescent="0.3">
      <c r="B40" t="str">
        <v xml:space="preserve"> </v>
      </c>
      <c r="C40" t="str">
        <v/>
      </c>
      <c r="E40" t="str">
        <f t="shared" si="0"/>
        <v xml:space="preserve">  </v>
      </c>
      <c r="M40" t="s">
        <v>370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371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372</v>
      </c>
    </row>
    <row r="43" spans="2:13" x14ac:dyDescent="0.3">
      <c r="B43" t="str">
        <v/>
      </c>
      <c r="C43" t="str">
        <v xml:space="preserve"> </v>
      </c>
      <c r="E43" t="str">
        <f t="shared" si="0"/>
        <v xml:space="preserve"> </v>
      </c>
      <c r="M43" t="s">
        <v>373</v>
      </c>
    </row>
    <row r="44" spans="2:13" x14ac:dyDescent="0.3">
      <c r="B44" t="str">
        <v xml:space="preserve"> </v>
      </c>
      <c r="C44" t="str">
        <v/>
      </c>
      <c r="E44" t="str">
        <f t="shared" si="0"/>
        <v xml:space="preserve">  </v>
      </c>
      <c r="M44" t="s">
        <v>374</v>
      </c>
    </row>
    <row r="45" spans="2:13" x14ac:dyDescent="0.3">
      <c r="B45" t="str">
        <v/>
      </c>
      <c r="C45" t="str">
        <v xml:space="preserve"> </v>
      </c>
      <c r="E45" t="str">
        <f t="shared" si="0"/>
        <v xml:space="preserve"> </v>
      </c>
      <c r="M45" t="s">
        <v>375</v>
      </c>
    </row>
    <row r="46" spans="2:13" x14ac:dyDescent="0.3">
      <c r="B46" t="str">
        <v xml:space="preserve"> </v>
      </c>
      <c r="C46" t="str">
        <v/>
      </c>
      <c r="E46" t="str">
        <f t="shared" si="0"/>
        <v xml:space="preserve">  </v>
      </c>
      <c r="M46" t="s">
        <v>376</v>
      </c>
    </row>
    <row r="47" spans="2:13" x14ac:dyDescent="0.3">
      <c r="B47" t="str">
        <v/>
      </c>
      <c r="C47" t="str">
        <v xml:space="preserve"> </v>
      </c>
      <c r="E47" t="str">
        <f t="shared" si="0"/>
        <v xml:space="preserve"> </v>
      </c>
      <c r="M47" t="s">
        <v>377</v>
      </c>
    </row>
    <row r="48" spans="2:13" x14ac:dyDescent="0.3">
      <c r="B48" t="str">
        <v xml:space="preserve"> </v>
      </c>
      <c r="C48" t="str">
        <v/>
      </c>
      <c r="E48" t="str">
        <f t="shared" si="0"/>
        <v xml:space="preserve">  </v>
      </c>
      <c r="M48" t="s">
        <v>378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379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380</v>
      </c>
    </row>
    <row r="51" spans="2:13" x14ac:dyDescent="0.3">
      <c r="B51" t="str" cm="1">
        <f t="array" ref="B51:C66">'STM-card (1)'!G63:H78</f>
        <v/>
      </c>
      <c r="C51" t="str">
        <v xml:space="preserve"> </v>
      </c>
      <c r="E51" t="str">
        <f t="shared" si="0"/>
        <v xml:space="preserve"> </v>
      </c>
      <c r="M51" t="s">
        <v>381</v>
      </c>
    </row>
    <row r="52" spans="2:13" x14ac:dyDescent="0.3">
      <c r="B52" t="str">
        <v xml:space="preserve"> </v>
      </c>
      <c r="C52" t="str">
        <v/>
      </c>
      <c r="E52" t="str">
        <f t="shared" si="0"/>
        <v xml:space="preserve">  </v>
      </c>
      <c r="M52" t="s">
        <v>382</v>
      </c>
    </row>
    <row r="53" spans="2:13" x14ac:dyDescent="0.3">
      <c r="B53" t="str">
        <v/>
      </c>
      <c r="C53" t="str">
        <v xml:space="preserve"> </v>
      </c>
      <c r="E53" t="str">
        <f t="shared" si="0"/>
        <v xml:space="preserve"> </v>
      </c>
      <c r="M53" t="s">
        <v>383</v>
      </c>
    </row>
    <row r="54" spans="2:13" x14ac:dyDescent="0.3">
      <c r="B54" t="str">
        <v xml:space="preserve"> </v>
      </c>
      <c r="C54" t="str">
        <v/>
      </c>
      <c r="E54" t="str">
        <f t="shared" si="0"/>
        <v xml:space="preserve">  </v>
      </c>
      <c r="M54" t="s">
        <v>384</v>
      </c>
    </row>
    <row r="55" spans="2:13" x14ac:dyDescent="0.3">
      <c r="B55" t="str">
        <v/>
      </c>
      <c r="C55" t="str">
        <v xml:space="preserve"> </v>
      </c>
      <c r="E55" t="str">
        <f t="shared" si="0"/>
        <v xml:space="preserve"> </v>
      </c>
      <c r="M55" t="s">
        <v>385</v>
      </c>
    </row>
    <row r="56" spans="2:13" x14ac:dyDescent="0.3">
      <c r="B56" t="str">
        <v xml:space="preserve"> </v>
      </c>
      <c r="C56" t="str">
        <v/>
      </c>
      <c r="E56" t="str">
        <f t="shared" si="0"/>
        <v xml:space="preserve">  </v>
      </c>
      <c r="M56" t="s">
        <v>386</v>
      </c>
    </row>
    <row r="57" spans="2:13" x14ac:dyDescent="0.3">
      <c r="B57" t="str">
        <v/>
      </c>
      <c r="C57" t="str">
        <v xml:space="preserve"> </v>
      </c>
      <c r="E57" t="str">
        <f t="shared" si="0"/>
        <v xml:space="preserve"> </v>
      </c>
      <c r="M57" t="s">
        <v>387</v>
      </c>
    </row>
    <row r="58" spans="2:13" x14ac:dyDescent="0.3">
      <c r="B58" t="str">
        <v xml:space="preserve"> </v>
      </c>
      <c r="C58" t="str">
        <v/>
      </c>
      <c r="E58" t="str">
        <f t="shared" si="0"/>
        <v xml:space="preserve">  </v>
      </c>
      <c r="M58" t="s">
        <v>388</v>
      </c>
    </row>
    <row r="59" spans="2:13" x14ac:dyDescent="0.3">
      <c r="B59" t="str">
        <v/>
      </c>
      <c r="C59" t="str">
        <v xml:space="preserve"> </v>
      </c>
      <c r="E59" t="str">
        <f t="shared" si="0"/>
        <v xml:space="preserve"> </v>
      </c>
      <c r="M59" t="s">
        <v>389</v>
      </c>
    </row>
    <row r="60" spans="2:13" x14ac:dyDescent="0.3">
      <c r="B60" t="str">
        <v xml:space="preserve"> </v>
      </c>
      <c r="C60" t="str">
        <v/>
      </c>
      <c r="E60" t="str">
        <f t="shared" si="0"/>
        <v xml:space="preserve">  </v>
      </c>
      <c r="M60" t="s">
        <v>390</v>
      </c>
    </row>
    <row r="61" spans="2:13" x14ac:dyDescent="0.3">
      <c r="B61" t="str">
        <v/>
      </c>
      <c r="C61" t="str">
        <v xml:space="preserve"> </v>
      </c>
      <c r="E61" t="str">
        <f t="shared" si="0"/>
        <v xml:space="preserve"> </v>
      </c>
      <c r="M61" t="s">
        <v>391</v>
      </c>
    </row>
    <row r="62" spans="2:13" x14ac:dyDescent="0.3">
      <c r="B62" t="str">
        <v xml:space="preserve"> </v>
      </c>
      <c r="C62" t="str">
        <v/>
      </c>
      <c r="E62" t="str">
        <f t="shared" si="0"/>
        <v xml:space="preserve">  </v>
      </c>
      <c r="M62" t="s">
        <v>392</v>
      </c>
    </row>
    <row r="63" spans="2:13" x14ac:dyDescent="0.3">
      <c r="B63" t="str">
        <v/>
      </c>
      <c r="C63" t="str">
        <v xml:space="preserve"> </v>
      </c>
      <c r="E63" t="str">
        <f t="shared" si="0"/>
        <v xml:space="preserve"> </v>
      </c>
      <c r="M63" t="s">
        <v>393</v>
      </c>
    </row>
    <row r="64" spans="2:13" x14ac:dyDescent="0.3">
      <c r="B64" t="str">
        <v xml:space="preserve"> </v>
      </c>
      <c r="C64" t="str">
        <v/>
      </c>
      <c r="E64" t="str">
        <f t="shared" si="0"/>
        <v xml:space="preserve">  </v>
      </c>
      <c r="M64" t="s">
        <v>394</v>
      </c>
    </row>
    <row r="65" spans="2:13" x14ac:dyDescent="0.3">
      <c r="B65" t="str">
        <v/>
      </c>
      <c r="C65" t="str">
        <v xml:space="preserve"> </v>
      </c>
      <c r="E65" t="str">
        <f t="shared" si="0"/>
        <v xml:space="preserve"> </v>
      </c>
      <c r="M65" t="s">
        <v>395</v>
      </c>
    </row>
    <row r="66" spans="2:13" x14ac:dyDescent="0.3">
      <c r="B66" t="str">
        <v xml:space="preserve"> </v>
      </c>
      <c r="C66" t="str">
        <v/>
      </c>
      <c r="E66" t="str">
        <f t="shared" si="0"/>
        <v xml:space="preserve">  </v>
      </c>
      <c r="M66" t="s">
        <v>396</v>
      </c>
    </row>
    <row r="67" spans="2:13" x14ac:dyDescent="0.3">
      <c r="B67" t="str" cm="1">
        <f t="array" ref="B67:C82">'STM-card (2)'!A63:B78</f>
        <v/>
      </c>
      <c r="C67" t="str">
        <v xml:space="preserve"> </v>
      </c>
      <c r="E67" t="str">
        <f t="shared" si="0"/>
        <v xml:space="preserve"> </v>
      </c>
      <c r="M67" t="s">
        <v>397</v>
      </c>
    </row>
    <row r="68" spans="2:13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  <c r="M68" t="s">
        <v>398</v>
      </c>
    </row>
    <row r="69" spans="2:13" x14ac:dyDescent="0.3">
      <c r="B69" t="str">
        <v/>
      </c>
      <c r="C69" t="str">
        <v xml:space="preserve"> </v>
      </c>
      <c r="E69" t="str">
        <f t="shared" si="1"/>
        <v xml:space="preserve"> </v>
      </c>
      <c r="M69" t="s">
        <v>399</v>
      </c>
    </row>
    <row r="70" spans="2:13" x14ac:dyDescent="0.3">
      <c r="B70" t="str">
        <v xml:space="preserve"> </v>
      </c>
      <c r="C70" t="str">
        <v/>
      </c>
      <c r="E70" t="str">
        <f t="shared" si="1"/>
        <v xml:space="preserve">  </v>
      </c>
      <c r="M70" t="s">
        <v>400</v>
      </c>
    </row>
    <row r="71" spans="2:13" x14ac:dyDescent="0.3">
      <c r="B71" t="str">
        <v/>
      </c>
      <c r="C71" t="str">
        <v xml:space="preserve"> </v>
      </c>
      <c r="E71" t="str">
        <f t="shared" si="1"/>
        <v xml:space="preserve"> </v>
      </c>
      <c r="M71" t="s">
        <v>401</v>
      </c>
    </row>
    <row r="72" spans="2:13" x14ac:dyDescent="0.3">
      <c r="B72" t="str">
        <v xml:space="preserve"> </v>
      </c>
      <c r="C72" t="str">
        <v/>
      </c>
      <c r="E72" t="str">
        <f t="shared" si="1"/>
        <v xml:space="preserve">  </v>
      </c>
      <c r="M72" t="s">
        <v>402</v>
      </c>
    </row>
    <row r="73" spans="2:13" x14ac:dyDescent="0.3">
      <c r="B73" t="str">
        <v/>
      </c>
      <c r="C73" t="str">
        <v xml:space="preserve"> </v>
      </c>
      <c r="E73" t="str">
        <f t="shared" si="1"/>
        <v xml:space="preserve"> </v>
      </c>
      <c r="M73" t="s">
        <v>403</v>
      </c>
    </row>
    <row r="74" spans="2:13" x14ac:dyDescent="0.3">
      <c r="B74" t="str">
        <v xml:space="preserve"> </v>
      </c>
      <c r="C74" t="str">
        <v/>
      </c>
      <c r="E74" t="str">
        <f t="shared" si="1"/>
        <v xml:space="preserve">  </v>
      </c>
      <c r="M74" t="s">
        <v>404</v>
      </c>
    </row>
    <row r="75" spans="2:13" x14ac:dyDescent="0.3">
      <c r="B75" t="str">
        <v>lights:</v>
      </c>
      <c r="C75" t="str">
        <v xml:space="preserve"> </v>
      </c>
      <c r="E75" t="str">
        <f t="shared" si="1"/>
        <v xml:space="preserve"> lights:</v>
      </c>
      <c r="M75" t="s">
        <v>405</v>
      </c>
    </row>
    <row r="76" spans="2:13" x14ac:dyDescent="0.3">
      <c r="B76" t="str">
        <v xml:space="preserve"> </v>
      </c>
      <c r="C76" t="str">
        <v/>
      </c>
      <c r="E76" t="str">
        <f t="shared" si="1"/>
        <v xml:space="preserve">  </v>
      </c>
      <c r="M76" t="s">
        <v>406</v>
      </c>
    </row>
    <row r="77" spans="2:13" x14ac:dyDescent="0.3">
      <c r="B77" t="str">
        <v/>
      </c>
      <c r="C77" t="str">
        <v xml:space="preserve"> </v>
      </c>
      <c r="E77" t="str">
        <f t="shared" si="1"/>
        <v xml:space="preserve"> </v>
      </c>
      <c r="M77" t="s">
        <v>407</v>
      </c>
    </row>
    <row r="78" spans="2:13" x14ac:dyDescent="0.3">
      <c r="B78" t="str">
        <v xml:space="preserve"> </v>
      </c>
      <c r="C78" t="str">
        <v/>
      </c>
      <c r="E78" t="str">
        <f t="shared" si="1"/>
        <v xml:space="preserve">  </v>
      </c>
    </row>
    <row r="79" spans="2:13" x14ac:dyDescent="0.3">
      <c r="B79" t="str">
        <v/>
      </c>
      <c r="C79" t="str">
        <v xml:space="preserve"> </v>
      </c>
      <c r="E79" t="str">
        <f t="shared" si="1"/>
        <v xml:space="preserve"> </v>
      </c>
    </row>
    <row r="80" spans="2:13" x14ac:dyDescent="0.3">
      <c r="B80" t="str">
        <v xml:space="preserve"> </v>
      </c>
      <c r="C80" t="str">
        <v/>
      </c>
      <c r="E80" t="str">
        <f t="shared" si="1"/>
        <v xml:space="preserve">  </v>
      </c>
    </row>
    <row r="81" spans="2:5" x14ac:dyDescent="0.3">
      <c r="B81" t="str">
        <v/>
      </c>
      <c r="C81" t="str">
        <v xml:space="preserve"> </v>
      </c>
      <c r="E81" t="str">
        <f t="shared" si="1"/>
        <v xml:space="preserve"> </v>
      </c>
    </row>
    <row r="82" spans="2:5" x14ac:dyDescent="0.3">
      <c r="B82" t="str">
        <v xml:space="preserve"> </v>
      </c>
      <c r="C82" t="str">
        <v/>
      </c>
      <c r="E82" t="str">
        <f t="shared" si="1"/>
        <v xml:space="preserve">  </v>
      </c>
    </row>
    <row r="83" spans="2:5" x14ac:dyDescent="0.3">
      <c r="B83" t="str" cm="1">
        <f t="array" ref="B83:C98">'STM-card (2)'!C63:D78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14">'STM-card (2)'!E63:F78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>
        <v/>
      </c>
      <c r="C107" t="str">
        <v xml:space="preserve"> </v>
      </c>
      <c r="E107" t="str">
        <f t="shared" si="1"/>
        <v xml:space="preserve"> </v>
      </c>
    </row>
    <row r="108" spans="2:5" x14ac:dyDescent="0.3">
      <c r="B108" t="str">
        <v xml:space="preserve"> </v>
      </c>
      <c r="C108" t="str">
        <v/>
      </c>
      <c r="E108" t="str">
        <f t="shared" si="1"/>
        <v xml:space="preserve">  </v>
      </c>
    </row>
    <row r="109" spans="2:5" x14ac:dyDescent="0.3">
      <c r="B109" t="str">
        <v/>
      </c>
      <c r="C109" t="str">
        <v xml:space="preserve"> </v>
      </c>
      <c r="E109" t="str">
        <f t="shared" si="1"/>
        <v xml:space="preserve"> </v>
      </c>
    </row>
    <row r="110" spans="2:5" x14ac:dyDescent="0.3">
      <c r="B110" t="str">
        <v xml:space="preserve"> </v>
      </c>
      <c r="C110" t="str">
        <v/>
      </c>
      <c r="E110" t="str">
        <f t="shared" si="1"/>
        <v xml:space="preserve">  </v>
      </c>
    </row>
    <row r="111" spans="2:5" x14ac:dyDescent="0.3">
      <c r="B111" t="str">
        <v/>
      </c>
      <c r="C111" t="str">
        <v xml:space="preserve"> </v>
      </c>
      <c r="E111" t="str">
        <f t="shared" si="1"/>
        <v xml:space="preserve"> </v>
      </c>
    </row>
    <row r="112" spans="2:5" x14ac:dyDescent="0.3">
      <c r="B112" t="str">
        <v xml:space="preserve"> </v>
      </c>
      <c r="C112" t="str">
        <v/>
      </c>
      <c r="E112" t="str">
        <f t="shared" si="1"/>
        <v xml:space="preserve">  </v>
      </c>
    </row>
    <row r="113" spans="2:5" x14ac:dyDescent="0.3">
      <c r="B113" t="str">
        <v/>
      </c>
      <c r="C113" t="str">
        <v xml:space="preserve"> </v>
      </c>
      <c r="E113" t="str">
        <f t="shared" si="1"/>
        <v xml:space="preserve"> </v>
      </c>
    </row>
    <row r="114" spans="2:5" x14ac:dyDescent="0.3">
      <c r="B114" t="str">
        <v xml:space="preserve"> </v>
      </c>
      <c r="C114" t="str">
        <v/>
      </c>
      <c r="E114" t="str">
        <f t="shared" si="1"/>
        <v xml:space="preserve">  </v>
      </c>
    </row>
    <row r="115" spans="2:5" x14ac:dyDescent="0.3">
      <c r="B115" t="str" cm="1">
        <f t="array" ref="B115:C130">'STM-card (2)'!G63:H78</f>
        <v/>
      </c>
      <c r="C115" t="str">
        <v xml:space="preserve"> </v>
      </c>
      <c r="E115" t="str">
        <f t="shared" si="1"/>
        <v xml:space="preserve"> </v>
      </c>
    </row>
    <row r="116" spans="2:5" x14ac:dyDescent="0.3">
      <c r="B116" t="str">
        <v xml:space="preserve"> </v>
      </c>
      <c r="C116" t="str">
        <v/>
      </c>
      <c r="E116" t="str">
        <f t="shared" si="1"/>
        <v xml:space="preserve">  </v>
      </c>
    </row>
    <row r="117" spans="2:5" x14ac:dyDescent="0.3">
      <c r="B117" t="str">
        <v/>
      </c>
      <c r="C117" t="str">
        <v xml:space="preserve"> </v>
      </c>
      <c r="E117" t="str">
        <f t="shared" si="1"/>
        <v xml:space="preserve"> </v>
      </c>
    </row>
    <row r="118" spans="2:5" x14ac:dyDescent="0.3">
      <c r="B118" t="str">
        <v xml:space="preserve"> </v>
      </c>
      <c r="C118" t="str">
        <v/>
      </c>
      <c r="E118" t="str">
        <f t="shared" si="1"/>
        <v xml:space="preserve">  </v>
      </c>
    </row>
    <row r="119" spans="2:5" x14ac:dyDescent="0.3">
      <c r="B119" t="str">
        <v/>
      </c>
      <c r="C119" t="str">
        <v xml:space="preserve"> </v>
      </c>
      <c r="E119" t="str">
        <f t="shared" si="1"/>
        <v xml:space="preserve"> </v>
      </c>
    </row>
    <row r="120" spans="2:5" x14ac:dyDescent="0.3">
      <c r="B120" t="str">
        <v xml:space="preserve"> </v>
      </c>
      <c r="C120" t="str">
        <v/>
      </c>
      <c r="E120" t="str">
        <f t="shared" si="1"/>
        <v xml:space="preserve">  </v>
      </c>
    </row>
    <row r="121" spans="2:5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5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5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5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5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5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5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5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(3)'!A63:B78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(3)'!C63:D78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(3)'!E63:F78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(3)'!G63:H78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(4)'!A63:B78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9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(4)'!C63:D78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(4)'!E63:F78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(4)'!G63:H78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(5)'!A63:B78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ref="E260:E323" si="4">IF((C260=" ")," "&amp;B260,"  "&amp;C260)</f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si="4"/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(5)'!C63:D78</f>
        <v/>
      </c>
      <c r="C275" t="str">
        <v xml:space="preserve"> </v>
      </c>
      <c r="E275" t="str">
        <f t="shared" si="4"/>
        <v xml:space="preserve"> </v>
      </c>
    </row>
    <row r="276" spans="2:5" x14ac:dyDescent="0.3">
      <c r="B276" t="str">
        <v xml:space="preserve"> </v>
      </c>
      <c r="C276" t="str">
        <v/>
      </c>
      <c r="E276" t="str">
        <f t="shared" si="4"/>
        <v xml:space="preserve">  </v>
      </c>
    </row>
    <row r="277" spans="2:5" x14ac:dyDescent="0.3">
      <c r="B277" t="str">
        <v/>
      </c>
      <c r="C277" t="str">
        <v xml:space="preserve"> </v>
      </c>
      <c r="E277" t="str">
        <f t="shared" si="4"/>
        <v xml:space="preserve"> </v>
      </c>
    </row>
    <row r="278" spans="2:5" x14ac:dyDescent="0.3">
      <c r="B278" t="str">
        <v xml:space="preserve"> </v>
      </c>
      <c r="C278" t="str">
        <v/>
      </c>
      <c r="E278" t="str">
        <f t="shared" si="4"/>
        <v xml:space="preserve">  </v>
      </c>
    </row>
    <row r="279" spans="2:5" x14ac:dyDescent="0.3">
      <c r="B279" t="str">
        <v/>
      </c>
      <c r="C279" t="str">
        <v xml:space="preserve"> </v>
      </c>
      <c r="E279" t="str">
        <f t="shared" si="4"/>
        <v xml:space="preserve"> </v>
      </c>
    </row>
    <row r="280" spans="2:5" x14ac:dyDescent="0.3">
      <c r="B280" t="str">
        <v xml:space="preserve"> </v>
      </c>
      <c r="C280" t="str">
        <v/>
      </c>
      <c r="E280" t="str">
        <f t="shared" si="4"/>
        <v xml:space="preserve">  </v>
      </c>
    </row>
    <row r="281" spans="2:5" x14ac:dyDescent="0.3">
      <c r="B281" t="str">
        <v/>
      </c>
      <c r="C281" t="str">
        <v xml:space="preserve"> </v>
      </c>
      <c r="E281" t="str">
        <f t="shared" si="4"/>
        <v xml:space="preserve"> </v>
      </c>
    </row>
    <row r="282" spans="2:5" x14ac:dyDescent="0.3">
      <c r="B282" t="str">
        <v xml:space="preserve"> </v>
      </c>
      <c r="C282" t="str">
        <v/>
      </c>
      <c r="E282" t="str">
        <f t="shared" si="4"/>
        <v xml:space="preserve">  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(5)'!E63:F78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(5)'!G63:H78</f>
        <v/>
      </c>
      <c r="C307" t="str">
        <v xml:space="preserve"> </v>
      </c>
      <c r="E307" t="str">
        <f t="shared" si="4"/>
        <v xml:space="preserve"> </v>
      </c>
    </row>
    <row r="308" spans="2:5" x14ac:dyDescent="0.3">
      <c r="B308" t="str">
        <v xml:space="preserve"> </v>
      </c>
      <c r="C308" t="str">
        <v/>
      </c>
      <c r="E308" t="str">
        <f t="shared" si="4"/>
        <v xml:space="preserve">  </v>
      </c>
    </row>
    <row r="309" spans="2:5" x14ac:dyDescent="0.3">
      <c r="B309" t="str">
        <v/>
      </c>
      <c r="C309" t="str">
        <v xml:space="preserve"> </v>
      </c>
      <c r="E309" t="str">
        <f t="shared" si="4"/>
        <v xml:space="preserve"> </v>
      </c>
    </row>
    <row r="310" spans="2:5" x14ac:dyDescent="0.3">
      <c r="B310" t="str">
        <v xml:space="preserve"> </v>
      </c>
      <c r="C310" t="str">
        <v/>
      </c>
      <c r="E310" t="str">
        <f t="shared" si="4"/>
        <v xml:space="preserve">  </v>
      </c>
    </row>
    <row r="311" spans="2:5" x14ac:dyDescent="0.3">
      <c r="B311" t="str">
        <v/>
      </c>
      <c r="C311" t="str">
        <v xml:space="preserve"> </v>
      </c>
      <c r="E311" t="str">
        <f t="shared" si="4"/>
        <v xml:space="preserve"> </v>
      </c>
    </row>
    <row r="312" spans="2:5" x14ac:dyDescent="0.3">
      <c r="B312" t="str">
        <v xml:space="preserve"> </v>
      </c>
      <c r="C312" t="str">
        <v/>
      </c>
      <c r="E312" t="str">
        <f t="shared" si="4"/>
        <v xml:space="preserve">  </v>
      </c>
    </row>
    <row r="313" spans="2:5" x14ac:dyDescent="0.3">
      <c r="B313" t="str">
        <v/>
      </c>
      <c r="C313" t="str">
        <v xml:space="preserve"> </v>
      </c>
      <c r="E313" t="str">
        <f t="shared" si="4"/>
        <v xml:space="preserve"> </v>
      </c>
    </row>
    <row r="314" spans="2:5" x14ac:dyDescent="0.3">
      <c r="B314" t="str">
        <v xml:space="preserve"> </v>
      </c>
      <c r="C314" t="str">
        <v/>
      </c>
      <c r="E314" t="str">
        <f t="shared" si="4"/>
        <v xml:space="preserve">  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(6)'!A63:B78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ref="E324:E387" si="5">IF((C324=" ")," "&amp;B324,"  "&amp;C324)</f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si="5"/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>lights:</v>
      </c>
      <c r="C331" t="str">
        <v xml:space="preserve"> </v>
      </c>
      <c r="E331" t="str">
        <f t="shared" si="5"/>
        <v xml:space="preserve"> lights: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(6)'!C63:D78</f>
        <v>l_Right_Bumper:</v>
      </c>
      <c r="C339" t="str">
        <v xml:space="preserve"> </v>
      </c>
      <c r="E339" t="str">
        <f t="shared" si="5"/>
        <v xml:space="preserve"> l_Right_Bumper:</v>
      </c>
    </row>
    <row r="340" spans="2:5" x14ac:dyDescent="0.3">
      <c r="B340" t="str">
        <v xml:space="preserve"> </v>
      </c>
      <c r="C340" t="str">
        <v>number: 6-0-8</v>
      </c>
      <c r="E340" t="str">
        <f t="shared" si="5"/>
        <v xml:space="preserve">  number: 6-0-8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>l_Triple_Bonus:</v>
      </c>
      <c r="C343" t="str">
        <v xml:space="preserve"> </v>
      </c>
      <c r="E343" t="str">
        <f t="shared" si="5"/>
        <v xml:space="preserve"> l_Triple_Bonus:</v>
      </c>
    </row>
    <row r="344" spans="2:5" x14ac:dyDescent="0.3">
      <c r="B344" t="str">
        <v xml:space="preserve"> </v>
      </c>
      <c r="C344" t="str">
        <v>number: 6-0-10</v>
      </c>
      <c r="E344" t="str">
        <f t="shared" si="5"/>
        <v xml:space="preserve">  number: 6-0-10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>l_Double_Bonus:</v>
      </c>
      <c r="C347" t="str">
        <v xml:space="preserve"> </v>
      </c>
      <c r="E347" t="str">
        <f t="shared" si="5"/>
        <v xml:space="preserve"> l_Double_Bonus:</v>
      </c>
    </row>
    <row r="348" spans="2:5" x14ac:dyDescent="0.3">
      <c r="B348" t="str">
        <v xml:space="preserve"> </v>
      </c>
      <c r="C348" t="str">
        <v>number: 6-0-12</v>
      </c>
      <c r="E348" t="str">
        <f t="shared" si="5"/>
        <v xml:space="preserve">  number: 6-0-12</v>
      </c>
    </row>
    <row r="349" spans="2:5" x14ac:dyDescent="0.3">
      <c r="B349" t="str">
        <v>l_Top_Bumper:</v>
      </c>
      <c r="C349" t="str">
        <v xml:space="preserve"> </v>
      </c>
      <c r="E349" t="str">
        <f t="shared" si="5"/>
        <v xml:space="preserve"> l_Top_Bumper:</v>
      </c>
    </row>
    <row r="350" spans="2:5" x14ac:dyDescent="0.3">
      <c r="B350" t="str">
        <v xml:space="preserve"> </v>
      </c>
      <c r="C350" t="str">
        <v>number: 6-0-13</v>
      </c>
      <c r="E350" t="str">
        <f t="shared" si="5"/>
        <v xml:space="preserve">  number: 6-0-13</v>
      </c>
    </row>
    <row r="351" spans="2:5" x14ac:dyDescent="0.3">
      <c r="B351" t="str">
        <v>l_Left_Bumper:</v>
      </c>
      <c r="C351" t="str">
        <v xml:space="preserve"> </v>
      </c>
      <c r="E351" t="str">
        <f t="shared" si="5"/>
        <v xml:space="preserve"> l_Left_Bumper:</v>
      </c>
    </row>
    <row r="352" spans="2:5" x14ac:dyDescent="0.3">
      <c r="B352" t="str">
        <v xml:space="preserve"> </v>
      </c>
      <c r="C352" t="str">
        <v>number: 6-0-14</v>
      </c>
      <c r="E352" t="str">
        <f t="shared" si="5"/>
        <v xml:space="preserve">  number: 6-0-14</v>
      </c>
    </row>
    <row r="353" spans="2:5" x14ac:dyDescent="0.3">
      <c r="B353" t="str">
        <v>l_Rollover_2:</v>
      </c>
      <c r="C353" t="str">
        <v xml:space="preserve"> </v>
      </c>
      <c r="E353" t="str">
        <f t="shared" si="5"/>
        <v xml:space="preserve"> l_Rollover_2:</v>
      </c>
    </row>
    <row r="354" spans="2:5" x14ac:dyDescent="0.3">
      <c r="B354" t="str">
        <v xml:space="preserve"> </v>
      </c>
      <c r="C354" t="str">
        <v>number: 6-0-15</v>
      </c>
      <c r="E354" t="str">
        <f t="shared" si="5"/>
        <v xml:space="preserve">  number: 6-0-15</v>
      </c>
    </row>
    <row r="355" spans="2:5" x14ac:dyDescent="0.3">
      <c r="B355" t="str" cm="1">
        <f t="array" ref="B355:C370">'STM-card (6)'!E63:F78</f>
        <v>l_EB_Lane:</v>
      </c>
      <c r="C355" t="str">
        <v xml:space="preserve"> </v>
      </c>
      <c r="E355" t="str">
        <f t="shared" si="5"/>
        <v xml:space="preserve"> l_EB_Lane:</v>
      </c>
    </row>
    <row r="356" spans="2:5" x14ac:dyDescent="0.3">
      <c r="B356" t="str">
        <v xml:space="preserve"> </v>
      </c>
      <c r="C356" t="str">
        <v>number: 6-0-16</v>
      </c>
      <c r="E356" t="str">
        <f t="shared" si="5"/>
        <v xml:space="preserve">  number: 6-0-16</v>
      </c>
    </row>
    <row r="357" spans="2:5" x14ac:dyDescent="0.3">
      <c r="B357" t="str">
        <v>l_Lane_Top_Right:</v>
      </c>
      <c r="C357" t="str">
        <v xml:space="preserve"> </v>
      </c>
      <c r="E357" t="str">
        <f t="shared" si="5"/>
        <v xml:space="preserve"> l_Lane_Top_Right:</v>
      </c>
    </row>
    <row r="358" spans="2:5" x14ac:dyDescent="0.3">
      <c r="B358" t="str">
        <v xml:space="preserve"> </v>
      </c>
      <c r="C358" t="str">
        <v>number: 6-0-17</v>
      </c>
      <c r="E358" t="str">
        <f t="shared" si="5"/>
        <v xml:space="preserve">  number: 6-0-17</v>
      </c>
    </row>
    <row r="359" spans="2:5" x14ac:dyDescent="0.3">
      <c r="B359" t="str">
        <v>l_Rollover_8:</v>
      </c>
      <c r="C359" t="str">
        <v xml:space="preserve"> </v>
      </c>
      <c r="E359" t="str">
        <f t="shared" si="5"/>
        <v xml:space="preserve"> l_Rollover_8:</v>
      </c>
    </row>
    <row r="360" spans="2:5" x14ac:dyDescent="0.3">
      <c r="B360" t="str">
        <v xml:space="preserve"> </v>
      </c>
      <c r="C360" t="str">
        <v>number: 6-0-18</v>
      </c>
      <c r="E360" t="str">
        <f t="shared" si="5"/>
        <v xml:space="preserve">  number: 6-0-18</v>
      </c>
    </row>
    <row r="361" spans="2:5" x14ac:dyDescent="0.3">
      <c r="B361" t="str">
        <v>l_Slinghshot_Right:</v>
      </c>
      <c r="C361" t="str">
        <v xml:space="preserve"> </v>
      </c>
      <c r="E361" t="str">
        <f t="shared" si="5"/>
        <v xml:space="preserve"> l_Slinghshot_Right:</v>
      </c>
    </row>
    <row r="362" spans="2:5" x14ac:dyDescent="0.3">
      <c r="B362" t="str">
        <v xml:space="preserve"> </v>
      </c>
      <c r="C362" t="str">
        <v>number: 6-0-19</v>
      </c>
      <c r="E362" t="str">
        <f t="shared" si="5"/>
        <v xml:space="preserve">  number: 6-0-19</v>
      </c>
    </row>
    <row r="363" spans="2:5" x14ac:dyDescent="0.3">
      <c r="B363" t="str">
        <v>l_SPECIAL_Lane_2:</v>
      </c>
      <c r="C363" t="str">
        <v xml:space="preserve"> </v>
      </c>
      <c r="E363" t="str">
        <f t="shared" si="5"/>
        <v xml:space="preserve"> l_SPECIAL_Lane_2:</v>
      </c>
    </row>
    <row r="364" spans="2:5" x14ac:dyDescent="0.3">
      <c r="B364" t="str">
        <v xml:space="preserve"> </v>
      </c>
      <c r="C364" t="str">
        <v>number: 6-0-20</v>
      </c>
      <c r="E364" t="str">
        <f t="shared" si="5"/>
        <v xml:space="preserve">  number: 6-0-20</v>
      </c>
    </row>
    <row r="365" spans="2:5" x14ac:dyDescent="0.3">
      <c r="B365" t="str">
        <v>l_EB:</v>
      </c>
      <c r="C365" t="str">
        <v xml:space="preserve"> </v>
      </c>
      <c r="E365" t="str">
        <f t="shared" si="5"/>
        <v xml:space="preserve"> l_EB:</v>
      </c>
    </row>
    <row r="366" spans="2:5" x14ac:dyDescent="0.3">
      <c r="B366" t="str">
        <v xml:space="preserve"> </v>
      </c>
      <c r="C366" t="str">
        <v>number: 6-0-21</v>
      </c>
      <c r="E366" t="str">
        <f t="shared" si="5"/>
        <v xml:space="preserve">  number: 6-0-21</v>
      </c>
    </row>
    <row r="367" spans="2:5" x14ac:dyDescent="0.3">
      <c r="B367" t="str">
        <v>l_Rollover_6:</v>
      </c>
      <c r="C367" t="str">
        <v xml:space="preserve"> </v>
      </c>
      <c r="E367" t="str">
        <f t="shared" si="5"/>
        <v xml:space="preserve"> l_Rollover_6:</v>
      </c>
    </row>
    <row r="368" spans="2:5" x14ac:dyDescent="0.3">
      <c r="B368" t="str">
        <v xml:space="preserve"> </v>
      </c>
      <c r="C368" t="str">
        <v>number: 6-0-22</v>
      </c>
      <c r="E368" t="str">
        <f t="shared" si="5"/>
        <v xml:space="preserve">  number: 6-0-22</v>
      </c>
    </row>
    <row r="369" spans="2:5" x14ac:dyDescent="0.3">
      <c r="B369" t="str">
        <v>l_Rollover_9:</v>
      </c>
      <c r="C369" t="str">
        <v xml:space="preserve"> </v>
      </c>
      <c r="E369" t="str">
        <f t="shared" si="5"/>
        <v xml:space="preserve"> l_Rollover_9:</v>
      </c>
    </row>
    <row r="370" spans="2:5" x14ac:dyDescent="0.3">
      <c r="B370" t="str">
        <v xml:space="preserve"> </v>
      </c>
      <c r="C370" t="str">
        <v>number: 6-0-23</v>
      </c>
      <c r="E370" t="str">
        <f t="shared" si="5"/>
        <v xml:space="preserve">  number: 6-0-23</v>
      </c>
    </row>
    <row r="371" spans="2:5" x14ac:dyDescent="0.3">
      <c r="B371" t="str" cm="1">
        <f t="array" ref="B371:C386">'STM-card (6)'!G63:H78</f>
        <v>l_Rollover_3:</v>
      </c>
      <c r="C371" t="str">
        <v xml:space="preserve"> </v>
      </c>
      <c r="E371" t="str">
        <f t="shared" si="5"/>
        <v xml:space="preserve"> l_Rollover_3:</v>
      </c>
    </row>
    <row r="372" spans="2:5" x14ac:dyDescent="0.3">
      <c r="B372" t="str">
        <v xml:space="preserve"> </v>
      </c>
      <c r="C372" t="str">
        <v>number: 6-0-24</v>
      </c>
      <c r="E372" t="str">
        <f t="shared" si="5"/>
        <v xml:space="preserve">  number: 6-0-24</v>
      </c>
    </row>
    <row r="373" spans="2:5" x14ac:dyDescent="0.3">
      <c r="B373" t="str">
        <v>l_Rollover_1000:</v>
      </c>
      <c r="C373" t="str">
        <v xml:space="preserve"> </v>
      </c>
      <c r="E373" t="str">
        <f t="shared" si="5"/>
        <v xml:space="preserve"> l_Rollover_1000:</v>
      </c>
    </row>
    <row r="374" spans="2:5" x14ac:dyDescent="0.3">
      <c r="B374" t="str">
        <v xml:space="preserve"> </v>
      </c>
      <c r="C374" t="str">
        <v>number: 6-0-25</v>
      </c>
      <c r="E374" t="str">
        <f t="shared" si="5"/>
        <v xml:space="preserve">  number: 6-0-25</v>
      </c>
    </row>
    <row r="375" spans="2:5" x14ac:dyDescent="0.3">
      <c r="B375" t="str">
        <v>l_Rollover_5:</v>
      </c>
      <c r="C375" t="str">
        <v xml:space="preserve"> </v>
      </c>
      <c r="E375" t="str">
        <f t="shared" si="5"/>
        <v xml:space="preserve"> l_Rollover_5:</v>
      </c>
    </row>
    <row r="376" spans="2:5" x14ac:dyDescent="0.3">
      <c r="B376" t="str">
        <v xml:space="preserve"> </v>
      </c>
      <c r="C376" t="str">
        <v>number: 6-0-26</v>
      </c>
      <c r="E376" t="str">
        <f t="shared" si="5"/>
        <v xml:space="preserve">  number: 6-0-26</v>
      </c>
    </row>
    <row r="377" spans="2:5" x14ac:dyDescent="0.3">
      <c r="B377" t="str">
        <v>l_SPECIAL:</v>
      </c>
      <c r="C377" t="str">
        <v xml:space="preserve"> </v>
      </c>
      <c r="E377" t="str">
        <f t="shared" si="5"/>
        <v xml:space="preserve"> l_SPECIAL:</v>
      </c>
    </row>
    <row r="378" spans="2:5" x14ac:dyDescent="0.3">
      <c r="B378" t="str">
        <v xml:space="preserve"> </v>
      </c>
      <c r="C378" t="str">
        <v>number: 6-0-27</v>
      </c>
      <c r="E378" t="str">
        <f t="shared" si="5"/>
        <v xml:space="preserve">  number: 6-0-27</v>
      </c>
    </row>
    <row r="379" spans="2:5" x14ac:dyDescent="0.3">
      <c r="B379" t="str">
        <v>l_Target_10:</v>
      </c>
      <c r="C379" t="str">
        <v xml:space="preserve"> </v>
      </c>
      <c r="E379" t="str">
        <f t="shared" si="5"/>
        <v xml:space="preserve"> l_Target_10:</v>
      </c>
    </row>
    <row r="380" spans="2:5" x14ac:dyDescent="0.3">
      <c r="B380" t="str">
        <v xml:space="preserve"> </v>
      </c>
      <c r="C380" t="str">
        <v>number: 6-0-28</v>
      </c>
      <c r="E380" t="str">
        <f t="shared" si="5"/>
        <v xml:space="preserve">  number: 6-0-28</v>
      </c>
    </row>
    <row r="381" spans="2:5" x14ac:dyDescent="0.3">
      <c r="B381" t="str">
        <v>l_Rollover_1:</v>
      </c>
      <c r="C381" t="str">
        <v xml:space="preserve"> </v>
      </c>
      <c r="E381" t="str">
        <f t="shared" si="5"/>
        <v xml:space="preserve"> l_Rollover_1:</v>
      </c>
    </row>
    <row r="382" spans="2:5" x14ac:dyDescent="0.3">
      <c r="B382" t="str">
        <v xml:space="preserve"> </v>
      </c>
      <c r="C382" t="str">
        <v>number: 6-0-29</v>
      </c>
      <c r="E382" t="str">
        <f t="shared" si="5"/>
        <v xml:space="preserve">  number: 6-0-29</v>
      </c>
    </row>
    <row r="383" spans="2:5" x14ac:dyDescent="0.3">
      <c r="B383" t="str">
        <v>l_Rollover_7:</v>
      </c>
      <c r="C383" t="str">
        <v xml:space="preserve"> </v>
      </c>
      <c r="E383" t="str">
        <f t="shared" si="5"/>
        <v xml:space="preserve"> l_Rollover_7:</v>
      </c>
    </row>
    <row r="384" spans="2:5" x14ac:dyDescent="0.3">
      <c r="B384" t="str">
        <v xml:space="preserve"> </v>
      </c>
      <c r="C384" t="str">
        <v>number: 6-0-30</v>
      </c>
      <c r="E384" t="str">
        <f t="shared" si="5"/>
        <v xml:space="preserve">  number: 6-0-30</v>
      </c>
    </row>
    <row r="385" spans="2:5" x14ac:dyDescent="0.3">
      <c r="B385" t="str">
        <v>l_Rollover_4:</v>
      </c>
      <c r="C385" t="str">
        <v xml:space="preserve"> </v>
      </c>
      <c r="E385" t="str">
        <f t="shared" si="5"/>
        <v xml:space="preserve"> l_Rollover_4:</v>
      </c>
    </row>
    <row r="386" spans="2:5" x14ac:dyDescent="0.3">
      <c r="B386" t="str">
        <v xml:space="preserve"> </v>
      </c>
      <c r="C386" t="str">
        <v>number: 6-0-31</v>
      </c>
      <c r="E386" t="str">
        <f t="shared" si="5"/>
        <v xml:space="preserve">  number: 6-0-31</v>
      </c>
    </row>
    <row r="387" spans="2:5" x14ac:dyDescent="0.3">
      <c r="B387" t="str" cm="1">
        <f t="array" ref="B387:C402">'STM-card (7)'!A63:B78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ref="E388:E451" si="6">IF((C388=" ")," "&amp;B388,"  "&amp;C388)</f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si="6"/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(7)'!C63:D78</f>
        <v>l_Backbox_Player1_score:</v>
      </c>
      <c r="C403" t="str">
        <v xml:space="preserve"> </v>
      </c>
      <c r="E403" t="str">
        <f t="shared" si="6"/>
        <v xml:space="preserve"> l_Backbox_Player1_score:</v>
      </c>
    </row>
    <row r="404" spans="2:5" x14ac:dyDescent="0.3">
      <c r="B404" t="str">
        <v xml:space="preserve"> </v>
      </c>
      <c r="C404" t="str">
        <v>number: 7-0-8</v>
      </c>
      <c r="E404" t="str">
        <f t="shared" si="6"/>
        <v xml:space="preserve">  number: 7-0-8</v>
      </c>
    </row>
    <row r="405" spans="2:5" x14ac:dyDescent="0.3">
      <c r="B405" t="str">
        <v>l_Backbox_Player2_score:</v>
      </c>
      <c r="C405" t="str">
        <v xml:space="preserve"> </v>
      </c>
      <c r="E405" t="str">
        <f t="shared" si="6"/>
        <v xml:space="preserve"> l_Backbox_Player2_score:</v>
      </c>
    </row>
    <row r="406" spans="2:5" x14ac:dyDescent="0.3">
      <c r="B406" t="str">
        <v xml:space="preserve"> </v>
      </c>
      <c r="C406" t="str">
        <v>number: 7-0-9</v>
      </c>
      <c r="E406" t="str">
        <f t="shared" si="6"/>
        <v xml:space="preserve">  number: 7-0-9</v>
      </c>
    </row>
    <row r="407" spans="2:5" x14ac:dyDescent="0.3">
      <c r="B407" t="str">
        <v>l_Backbox_Player3_score:</v>
      </c>
      <c r="C407" t="str">
        <v xml:space="preserve"> </v>
      </c>
      <c r="E407" t="str">
        <f t="shared" si="6"/>
        <v xml:space="preserve"> l_Backbox_Player3_score:</v>
      </c>
    </row>
    <row r="408" spans="2:5" x14ac:dyDescent="0.3">
      <c r="B408" t="str">
        <v xml:space="preserve"> </v>
      </c>
      <c r="C408" t="str">
        <v>number: 7-0-10</v>
      </c>
      <c r="E408" t="str">
        <f t="shared" si="6"/>
        <v xml:space="preserve">  number: 7-0-10</v>
      </c>
    </row>
    <row r="409" spans="2:5" x14ac:dyDescent="0.3">
      <c r="B409" t="str">
        <v>l_Backbox_Player4_score:</v>
      </c>
      <c r="C409" t="str">
        <v xml:space="preserve"> </v>
      </c>
      <c r="E409" t="str">
        <f t="shared" si="6"/>
        <v xml:space="preserve"> l_Backbox_Player4_score:</v>
      </c>
    </row>
    <row r="410" spans="2:5" x14ac:dyDescent="0.3">
      <c r="B410" t="str">
        <v xml:space="preserve"> </v>
      </c>
      <c r="C410" t="str">
        <v>number: 7-0-11</v>
      </c>
      <c r="E410" t="str">
        <f t="shared" si="6"/>
        <v xml:space="preserve">  number: 7-0-11</v>
      </c>
    </row>
    <row r="411" spans="2:5" x14ac:dyDescent="0.3">
      <c r="B411" t="str">
        <v>l_Backbox_TILT:</v>
      </c>
      <c r="C411" t="str">
        <v xml:space="preserve"> </v>
      </c>
      <c r="E411" t="str">
        <f t="shared" si="6"/>
        <v xml:space="preserve"> l_Backbox_TILT:</v>
      </c>
    </row>
    <row r="412" spans="2:5" x14ac:dyDescent="0.3">
      <c r="B412" t="str">
        <v xml:space="preserve"> </v>
      </c>
      <c r="C412" t="str">
        <v>number: 7-0-12</v>
      </c>
      <c r="E412" t="str">
        <f t="shared" si="6"/>
        <v xml:space="preserve">  number: 7-0-12</v>
      </c>
    </row>
    <row r="413" spans="2:5" x14ac:dyDescent="0.3">
      <c r="B413" t="str">
        <v>l_Backbox_Game_over:</v>
      </c>
      <c r="C413" t="str">
        <v xml:space="preserve"> </v>
      </c>
      <c r="E413" t="str">
        <f t="shared" si="6"/>
        <v xml:space="preserve"> l_Backbox_Game_over:</v>
      </c>
    </row>
    <row r="414" spans="2:5" x14ac:dyDescent="0.3">
      <c r="B414" t="str">
        <v xml:space="preserve"> </v>
      </c>
      <c r="C414" t="str">
        <v>number: 7-0-13</v>
      </c>
      <c r="E414" t="str">
        <f t="shared" si="6"/>
        <v xml:space="preserve">  number: 7-0-13</v>
      </c>
    </row>
    <row r="415" spans="2:5" x14ac:dyDescent="0.3">
      <c r="B415" t="str">
        <v>l_Backbox_Extra_Ball:</v>
      </c>
      <c r="C415" t="str">
        <v xml:space="preserve"> </v>
      </c>
      <c r="E415" t="str">
        <f t="shared" si="6"/>
        <v xml:space="preserve"> l_Backbox_Extra_Ball:</v>
      </c>
    </row>
    <row r="416" spans="2:5" x14ac:dyDescent="0.3">
      <c r="B416" t="str">
        <v xml:space="preserve"> </v>
      </c>
      <c r="C416" t="str">
        <v>number: 7-0-14</v>
      </c>
      <c r="E416" t="str">
        <f t="shared" si="6"/>
        <v xml:space="preserve">  number: 7-0-14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(7)'!E63:F78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(7)'!G63:H78</f>
        <v>l_Backbox_Ball1:</v>
      </c>
      <c r="C435" t="str">
        <v xml:space="preserve"> </v>
      </c>
      <c r="E435" t="str">
        <f t="shared" si="6"/>
        <v xml:space="preserve"> l_Backbox_Ball1:</v>
      </c>
    </row>
    <row r="436" spans="2:5" x14ac:dyDescent="0.3">
      <c r="B436" t="str">
        <v xml:space="preserve"> </v>
      </c>
      <c r="C436" t="str">
        <v>number: 7-0-24</v>
      </c>
      <c r="E436" t="str">
        <f t="shared" si="6"/>
        <v xml:space="preserve">  number: 7-0-24</v>
      </c>
    </row>
    <row r="437" spans="2:5" x14ac:dyDescent="0.3">
      <c r="B437" t="str">
        <v>l_Backbox_Ball2:</v>
      </c>
      <c r="C437" t="str">
        <v xml:space="preserve"> </v>
      </c>
      <c r="E437" t="str">
        <f t="shared" si="6"/>
        <v xml:space="preserve"> l_Backbox_Ball2:</v>
      </c>
    </row>
    <row r="438" spans="2:5" x14ac:dyDescent="0.3">
      <c r="B438" t="str">
        <v xml:space="preserve"> </v>
      </c>
      <c r="C438" t="str">
        <v>number: 7-0-25</v>
      </c>
      <c r="E438" t="str">
        <f t="shared" si="6"/>
        <v xml:space="preserve">  number: 7-0-25</v>
      </c>
    </row>
    <row r="439" spans="2:5" x14ac:dyDescent="0.3">
      <c r="B439" t="str">
        <v>l_Backbox_Ball3:</v>
      </c>
      <c r="C439" t="str">
        <v xml:space="preserve"> </v>
      </c>
      <c r="E439" t="str">
        <f t="shared" si="6"/>
        <v xml:space="preserve"> l_Backbox_Ball3:</v>
      </c>
    </row>
    <row r="440" spans="2:5" x14ac:dyDescent="0.3">
      <c r="B440" t="str">
        <v xml:space="preserve"> </v>
      </c>
      <c r="C440" t="str">
        <v>number: 7-0-26</v>
      </c>
      <c r="E440" t="str">
        <f t="shared" si="6"/>
        <v xml:space="preserve">  number: 7-0-26</v>
      </c>
    </row>
    <row r="441" spans="2:5" x14ac:dyDescent="0.3">
      <c r="B441" t="str">
        <v>l_Backbox_Player1_turn:</v>
      </c>
      <c r="C441" t="str">
        <v xml:space="preserve"> </v>
      </c>
      <c r="E441" t="str">
        <f t="shared" si="6"/>
        <v xml:space="preserve"> l_Backbox_Player1_turn:</v>
      </c>
    </row>
    <row r="442" spans="2:5" x14ac:dyDescent="0.3">
      <c r="B442" t="str">
        <v xml:space="preserve"> </v>
      </c>
      <c r="C442" t="str">
        <v>number: 7-0-27</v>
      </c>
      <c r="E442" t="str">
        <f t="shared" si="6"/>
        <v xml:space="preserve">  number: 7-0-27</v>
      </c>
    </row>
    <row r="443" spans="2:5" x14ac:dyDescent="0.3">
      <c r="B443" t="str">
        <v>l_Backbox_Player2_turn:</v>
      </c>
      <c r="C443" t="str">
        <v xml:space="preserve"> </v>
      </c>
      <c r="E443" t="str">
        <f t="shared" si="6"/>
        <v xml:space="preserve"> l_Backbox_Player2_turn:</v>
      </c>
    </row>
    <row r="444" spans="2:5" x14ac:dyDescent="0.3">
      <c r="B444" t="str">
        <v xml:space="preserve"> </v>
      </c>
      <c r="C444" t="str">
        <v>number: 7-0-28</v>
      </c>
      <c r="E444" t="str">
        <f t="shared" si="6"/>
        <v xml:space="preserve">  number: 7-0-28</v>
      </c>
    </row>
    <row r="445" spans="2:5" x14ac:dyDescent="0.3">
      <c r="B445" t="str">
        <v>l_Backbox_Player3_turn:</v>
      </c>
      <c r="C445" t="str">
        <v xml:space="preserve"> </v>
      </c>
      <c r="E445" t="str">
        <f t="shared" si="6"/>
        <v xml:space="preserve"> l_Backbox_Player3_turn:</v>
      </c>
    </row>
    <row r="446" spans="2:5" x14ac:dyDescent="0.3">
      <c r="B446" t="str">
        <v xml:space="preserve"> </v>
      </c>
      <c r="C446" t="str">
        <v>number: 7-0-29</v>
      </c>
      <c r="E446" t="str">
        <f t="shared" si="6"/>
        <v xml:space="preserve">  number: 7-0-29</v>
      </c>
    </row>
    <row r="447" spans="2:5" x14ac:dyDescent="0.3">
      <c r="B447" t="str">
        <v>l_Backbox_Player4_turn:</v>
      </c>
      <c r="C447" t="str">
        <v xml:space="preserve"> </v>
      </c>
      <c r="E447" t="str">
        <f t="shared" si="6"/>
        <v xml:space="preserve"> l_Backbox_Player4_turn:</v>
      </c>
    </row>
    <row r="448" spans="2:5" x14ac:dyDescent="0.3">
      <c r="B448" t="str">
        <v xml:space="preserve"> </v>
      </c>
      <c r="C448" t="str">
        <v>number: 7-0-30</v>
      </c>
      <c r="E448" t="str">
        <f t="shared" si="6"/>
        <v xml:space="preserve">  number: 7-0-30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(8)'!A63:B78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ref="E452:E514" si="7">IF((C452=" ")," "&amp;B452,"  "&amp;C452)</f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si="7"/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(8)'!C63:D78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(8)'!E63:F78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(8)'!G63:H78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lick_lights">
                <anchor moveWithCells="1" sizeWithCells="1">
                  <from>
                    <xdr:col>6</xdr:col>
                    <xdr:colOff>746760</xdr:colOff>
                    <xdr:row>0</xdr:row>
                    <xdr:rowOff>0</xdr:rowOff>
                  </from>
                  <to>
                    <xdr:col>10</xdr:col>
                    <xdr:colOff>518160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B195-E0AE-4DF1-B482-07ED0B978B70}">
  <sheetPr codeName="Feuil14"/>
  <dimension ref="A1:N588"/>
  <sheetViews>
    <sheetView topLeftCell="A84" zoomScaleNormal="100" workbookViewId="0">
      <selection activeCell="A98" sqref="A98"/>
    </sheetView>
  </sheetViews>
  <sheetFormatPr baseColWidth="10" defaultRowHeight="14.4" x14ac:dyDescent="0.3"/>
  <cols>
    <col min="1" max="1" width="24" bestFit="1" customWidth="1"/>
    <col min="2" max="2" width="17" style="11" customWidth="1"/>
    <col min="3" max="3" width="3.5546875" customWidth="1"/>
    <col min="4" max="5" width="19.109375" bestFit="1" customWidth="1"/>
    <col min="7" max="8" width="25.6640625" customWidth="1"/>
    <col min="9" max="9" width="11.44140625" style="56"/>
    <col min="10" max="14" width="11.44140625" style="55"/>
  </cols>
  <sheetData>
    <row r="1" spans="1:9" ht="15" thickBot="1" x14ac:dyDescent="0.35">
      <c r="B1" s="47" t="s">
        <v>191</v>
      </c>
      <c r="D1" s="57" t="s">
        <v>192</v>
      </c>
      <c r="E1" s="57" t="s">
        <v>212</v>
      </c>
      <c r="F1" s="58"/>
      <c r="G1" s="57" t="s">
        <v>193</v>
      </c>
      <c r="H1" s="57" t="s">
        <v>211</v>
      </c>
    </row>
    <row r="2" spans="1:9" x14ac:dyDescent="0.3">
      <c r="A2" s="34"/>
      <c r="D2" t="s">
        <v>51</v>
      </c>
      <c r="E2" t="s">
        <v>51</v>
      </c>
      <c r="G2" t="s">
        <v>51</v>
      </c>
      <c r="H2" t="s">
        <v>51</v>
      </c>
    </row>
    <row r="3" spans="1:9" ht="15" thickBot="1" x14ac:dyDescent="0.35">
      <c r="A3" s="34"/>
      <c r="D3" t="str">
        <f>" l_"&amp;B6&amp;":"</f>
        <v xml:space="preserve"> l_Bonus_10000:</v>
      </c>
      <c r="E3" t="str">
        <f>" l_"&amp;B6&amp;":"</f>
        <v xml:space="preserve"> l_Bonus_10000:</v>
      </c>
      <c r="G3" t="str">
        <f ca="1">" l_"&amp;OFFSET(B$6,(A6-1)/10,0)&amp;":"</f>
        <v xml:space="preserve"> l_Bonus_10000:</v>
      </c>
      <c r="H3" t="str">
        <f ca="1">" l_"&amp;OFFSET(B$6,(A6-1)/10,0)&amp;":"</f>
        <v xml:space="preserve"> l_Bonus_10000:</v>
      </c>
    </row>
    <row r="4" spans="1:9" ht="15" thickBot="1" x14ac:dyDescent="0.35">
      <c r="A4" s="34" t="s">
        <v>194</v>
      </c>
      <c r="B4" s="48">
        <v>6</v>
      </c>
      <c r="D4" t="str">
        <f>"  type:"&amp;D1</f>
        <v xml:space="preserve">  type:rgb</v>
      </c>
      <c r="E4" t="str">
        <f>"  type:"&amp;D1</f>
        <v xml:space="preserve">  type:rgb</v>
      </c>
      <c r="G4" s="49" t="s">
        <v>195</v>
      </c>
      <c r="H4" s="49" t="s">
        <v>195</v>
      </c>
    </row>
    <row r="5" spans="1:9" x14ac:dyDescent="0.3">
      <c r="A5" s="50" t="s">
        <v>196</v>
      </c>
      <c r="B5" s="51" t="s">
        <v>197</v>
      </c>
      <c r="C5" s="34"/>
      <c r="D5" t="str">
        <f ca="1">"  number: "&amp;B4&amp;"-0-"&amp;OFFSET(A6,0,1,1,1)</f>
        <v xml:space="preserve">  number: 6-0-Bonus_10000</v>
      </c>
      <c r="E5" t="str">
        <f ca="1">"  number: "&amp;B4&amp;"-0-"&amp;OFFSET(A6,0,1,1,1)</f>
        <v xml:space="preserve">  number: 6-0-Bonus_10000</v>
      </c>
      <c r="G5" s="49" t="s">
        <v>198</v>
      </c>
      <c r="H5" s="49" t="s">
        <v>199</v>
      </c>
    </row>
    <row r="6" spans="1:9" x14ac:dyDescent="0.3">
      <c r="A6" s="21">
        <v>1</v>
      </c>
      <c r="B6" s="52" t="s">
        <v>327</v>
      </c>
      <c r="D6" t="str">
        <f>" l_"&amp;B7&amp;":"</f>
        <v xml:space="preserve"> l_Bonus_9000:</v>
      </c>
      <c r="E6" t="str">
        <f>" l_"&amp;B7&amp;":"</f>
        <v xml:space="preserve"> l_Bonus_9000:</v>
      </c>
      <c r="G6" s="49" t="str">
        <f>"    - number: "&amp;$B$4&amp;"-0-"&amp;I6</f>
        <v xml:space="preserve">    - number: 6-0-0</v>
      </c>
      <c r="H6" s="49" t="str">
        <f>"    - number: "&amp;$B$4&amp;"-0-"&amp;I6</f>
        <v xml:space="preserve">    - number: 6-0-0</v>
      </c>
      <c r="I6" s="56">
        <v>0</v>
      </c>
    </row>
    <row r="7" spans="1:9" x14ac:dyDescent="0.3">
      <c r="A7" s="21">
        <v>2</v>
      </c>
      <c r="B7" s="52" t="s">
        <v>208</v>
      </c>
      <c r="D7" t="str">
        <f>"  type:"&amp;D$1</f>
        <v xml:space="preserve">  type:rgb</v>
      </c>
      <c r="E7" t="str">
        <f>"  type:"&amp;D$1</f>
        <v xml:space="preserve">  type:rgb</v>
      </c>
      <c r="G7" s="49" t="s">
        <v>199</v>
      </c>
      <c r="H7" s="49" t="s">
        <v>198</v>
      </c>
    </row>
    <row r="8" spans="1:9" x14ac:dyDescent="0.3">
      <c r="A8" s="21">
        <v>3</v>
      </c>
      <c r="B8" s="52" t="s">
        <v>207</v>
      </c>
      <c r="D8" t="str">
        <f>"  number: "&amp;B$4&amp;"-0-"&amp;A7</f>
        <v xml:space="preserve">  number: 6-0-2</v>
      </c>
      <c r="E8" t="str">
        <f>"  number: "&amp;B$4&amp;"-0-"&amp;A7</f>
        <v xml:space="preserve">  number: 6-0-2</v>
      </c>
      <c r="G8" s="49" t="str">
        <f>"    - number: "&amp;$B$4&amp;"-0-"&amp;I8</f>
        <v xml:space="preserve">    - number: 6-0-1</v>
      </c>
      <c r="H8" s="49" t="str">
        <f>"    - number: "&amp;$B$4&amp;"-0-"&amp;I8</f>
        <v xml:space="preserve">    - number: 6-0-1</v>
      </c>
      <c r="I8" s="56">
        <f>I6+1</f>
        <v>1</v>
      </c>
    </row>
    <row r="9" spans="1:9" x14ac:dyDescent="0.3">
      <c r="A9" s="21">
        <v>4</v>
      </c>
      <c r="B9" s="52" t="s">
        <v>206</v>
      </c>
      <c r="D9" t="str">
        <f>" l_"&amp;B8&amp;":"</f>
        <v xml:space="preserve"> l_Bonus_8000:</v>
      </c>
      <c r="E9" t="str">
        <f>" l_"&amp;B8&amp;":"</f>
        <v xml:space="preserve"> l_Bonus_8000:</v>
      </c>
      <c r="G9" s="49" t="s">
        <v>209</v>
      </c>
      <c r="H9" s="49" t="s">
        <v>209</v>
      </c>
    </row>
    <row r="10" spans="1:9" x14ac:dyDescent="0.3">
      <c r="A10" s="21">
        <v>5</v>
      </c>
      <c r="B10" s="52" t="s">
        <v>205</v>
      </c>
      <c r="D10" t="str">
        <f>"  type:"&amp;D$1</f>
        <v xml:space="preserve">  type:rgb</v>
      </c>
      <c r="E10" t="str">
        <f>"  type:"&amp;D$1</f>
        <v xml:space="preserve">  type:rgb</v>
      </c>
      <c r="G10" s="49" t="str">
        <f>"    - number: "&amp;$B$4&amp;"-0-"&amp;I10</f>
        <v xml:space="preserve">    - number: 6-0-2</v>
      </c>
      <c r="H10" s="49" t="str">
        <f>"    - number: "&amp;$B$4&amp;"-0-"&amp;I10</f>
        <v xml:space="preserve">    - number: 6-0-2</v>
      </c>
      <c r="I10" s="56">
        <f>I8+1</f>
        <v>2</v>
      </c>
    </row>
    <row r="11" spans="1:9" x14ac:dyDescent="0.3">
      <c r="A11" s="21">
        <v>6</v>
      </c>
      <c r="B11" s="52" t="s">
        <v>204</v>
      </c>
      <c r="D11" t="str">
        <f>"  number: "&amp;B$4&amp;"-0-"&amp;A8</f>
        <v xml:space="preserve">  number: 6-0-3</v>
      </c>
      <c r="E11" t="str">
        <f>"  number: "&amp;B$4&amp;"-0-"&amp;A8</f>
        <v xml:space="preserve">  number: 6-0-3</v>
      </c>
      <c r="G11" s="49" t="s">
        <v>210</v>
      </c>
      <c r="H11" s="49" t="s">
        <v>210</v>
      </c>
    </row>
    <row r="12" spans="1:9" x14ac:dyDescent="0.3">
      <c r="A12" s="21">
        <v>7</v>
      </c>
      <c r="B12" s="52" t="s">
        <v>203</v>
      </c>
      <c r="D12" t="str">
        <f>" l_"&amp;B9&amp;":"</f>
        <v xml:space="preserve"> l_Bonus_7000:</v>
      </c>
      <c r="E12" t="str">
        <f>" l_"&amp;B9&amp;":"</f>
        <v xml:space="preserve"> l_Bonus_7000:</v>
      </c>
      <c r="G12" s="49" t="str">
        <f>"    - number: "&amp;$B$4&amp;"-0-"&amp;I12</f>
        <v xml:space="preserve">    - number: 6-0-3</v>
      </c>
      <c r="H12" s="49" t="str">
        <f>"    - number: "&amp;$B$4&amp;"-0-"&amp;I12</f>
        <v xml:space="preserve">    - number: 6-0-3</v>
      </c>
      <c r="I12" s="56">
        <f>I10+1</f>
        <v>3</v>
      </c>
    </row>
    <row r="13" spans="1:9" x14ac:dyDescent="0.3">
      <c r="A13" s="21">
        <v>8</v>
      </c>
      <c r="B13" s="52" t="s">
        <v>202</v>
      </c>
      <c r="D13" t="str">
        <f>"  type:"&amp;D$1</f>
        <v xml:space="preserve">  type:rgb</v>
      </c>
      <c r="E13" t="str">
        <f>"  type:"&amp;D$1</f>
        <v xml:space="preserve">  type:rgb</v>
      </c>
      <c r="G13" t="str">
        <f ca="1">" l_"&amp;OFFSET(B$6,(A16-1)/10,0)&amp;":"</f>
        <v xml:space="preserve"> l_Bonus_9000:</v>
      </c>
      <c r="H13" t="str">
        <f ca="1">" l_"&amp;OFFSET(B$6,(A16-1)/10,0)&amp;":"</f>
        <v xml:space="preserve"> l_Bonus_9000:</v>
      </c>
    </row>
    <row r="14" spans="1:9" x14ac:dyDescent="0.3">
      <c r="A14" s="21">
        <v>9</v>
      </c>
      <c r="B14" s="52" t="s">
        <v>201</v>
      </c>
      <c r="D14" t="str">
        <f>"  number: "&amp;B$4&amp;"-0-"&amp;A9</f>
        <v xml:space="preserve">  number: 6-0-4</v>
      </c>
      <c r="E14" t="str">
        <f>"  number: "&amp;B$4&amp;"-0-"&amp;A9</f>
        <v xml:space="preserve">  number: 6-0-4</v>
      </c>
      <c r="G14" s="49" t="s">
        <v>195</v>
      </c>
      <c r="H14" s="49" t="s">
        <v>195</v>
      </c>
    </row>
    <row r="15" spans="1:9" x14ac:dyDescent="0.3">
      <c r="A15" s="21">
        <v>10</v>
      </c>
      <c r="B15" s="52" t="s">
        <v>200</v>
      </c>
      <c r="D15" t="str">
        <f>" l_"&amp;B10&amp;":"</f>
        <v xml:space="preserve"> l_Bonus_6000:</v>
      </c>
      <c r="E15" t="str">
        <f>" l_"&amp;B10&amp;":"</f>
        <v xml:space="preserve"> l_Bonus_6000:</v>
      </c>
      <c r="G15" s="49" t="s">
        <v>198</v>
      </c>
      <c r="H15" s="49" t="s">
        <v>199</v>
      </c>
    </row>
    <row r="16" spans="1:9" x14ac:dyDescent="0.3">
      <c r="A16" s="21">
        <v>11</v>
      </c>
      <c r="B16" s="52"/>
      <c r="D16" t="str">
        <f>"  type:"&amp;D$1</f>
        <v xml:space="preserve">  type:rgb</v>
      </c>
      <c r="E16" t="str">
        <f>"  type:"&amp;D$1</f>
        <v xml:space="preserve">  type:rgb</v>
      </c>
      <c r="G16" s="49" t="str">
        <f>"    - number: "&amp;$B$4&amp;"-0-"&amp;I16</f>
        <v xml:space="preserve">    - number: 6-0-4</v>
      </c>
      <c r="H16" s="49" t="str">
        <f>"    - number: "&amp;$B$4&amp;"-0-"&amp;I16</f>
        <v xml:space="preserve">    - number: 6-0-4</v>
      </c>
      <c r="I16" s="56">
        <f>I6+4</f>
        <v>4</v>
      </c>
    </row>
    <row r="17" spans="1:9" x14ac:dyDescent="0.3">
      <c r="A17" s="21">
        <v>12</v>
      </c>
      <c r="B17" s="52"/>
      <c r="D17" t="str">
        <f>"  number: "&amp;B$4&amp;"-0-"&amp;A10</f>
        <v xml:space="preserve">  number: 6-0-5</v>
      </c>
      <c r="E17" t="str">
        <f>"  number: "&amp;B$4&amp;"-0-"&amp;A10</f>
        <v xml:space="preserve">  number: 6-0-5</v>
      </c>
      <c r="G17" s="49" t="s">
        <v>199</v>
      </c>
      <c r="H17" s="49" t="s">
        <v>198</v>
      </c>
    </row>
    <row r="18" spans="1:9" x14ac:dyDescent="0.3">
      <c r="A18" s="21">
        <v>13</v>
      </c>
      <c r="B18" s="52"/>
      <c r="D18" t="str">
        <f>" l_"&amp;B11&amp;":"</f>
        <v xml:space="preserve"> l_Bonus_5000:</v>
      </c>
      <c r="E18" t="str">
        <f>" l_"&amp;B11&amp;":"</f>
        <v xml:space="preserve"> l_Bonus_5000:</v>
      </c>
      <c r="G18" s="49" t="str">
        <f>"    - number: "&amp;$B$4&amp;"-0-"&amp;I18</f>
        <v xml:space="preserve">    - number: 6-0-5</v>
      </c>
      <c r="H18" s="49" t="str">
        <f>"    - number: "&amp;$B$4&amp;"-0-"&amp;I18</f>
        <v xml:space="preserve">    - number: 6-0-5</v>
      </c>
      <c r="I18" s="56">
        <f>I8+4</f>
        <v>5</v>
      </c>
    </row>
    <row r="19" spans="1:9" x14ac:dyDescent="0.3">
      <c r="A19" s="21">
        <v>14</v>
      </c>
      <c r="B19" s="52"/>
      <c r="D19" t="str">
        <f>"  type:"&amp;D$1</f>
        <v xml:space="preserve">  type:rgb</v>
      </c>
      <c r="E19" t="str">
        <f>"  type:"&amp;D$1</f>
        <v xml:space="preserve">  type:rgb</v>
      </c>
      <c r="G19" s="49" t="s">
        <v>209</v>
      </c>
      <c r="H19" s="49" t="s">
        <v>209</v>
      </c>
    </row>
    <row r="20" spans="1:9" x14ac:dyDescent="0.3">
      <c r="A20" s="21">
        <v>15</v>
      </c>
      <c r="B20" s="52"/>
      <c r="D20" t="str">
        <f>"  number: "&amp;B$4&amp;"-0-"&amp;A11</f>
        <v xml:space="preserve">  number: 6-0-6</v>
      </c>
      <c r="E20" t="str">
        <f>"  number: "&amp;B$4&amp;"-0-"&amp;A11</f>
        <v xml:space="preserve">  number: 6-0-6</v>
      </c>
      <c r="G20" s="49" t="str">
        <f>"    - number: "&amp;$B$4&amp;"-0-"&amp;I20</f>
        <v xml:space="preserve">    - number: 6-0-6</v>
      </c>
      <c r="H20" s="49" t="str">
        <f>"    - number: "&amp;$B$4&amp;"-0-"&amp;I20</f>
        <v xml:space="preserve">    - number: 6-0-6</v>
      </c>
      <c r="I20" s="56">
        <f>I10+4</f>
        <v>6</v>
      </c>
    </row>
    <row r="21" spans="1:9" x14ac:dyDescent="0.3">
      <c r="A21" s="21">
        <v>16</v>
      </c>
      <c r="B21" s="52"/>
      <c r="D21" t="str">
        <f>" l_"&amp;B12&amp;":"</f>
        <v xml:space="preserve"> l_Bonus_4000:</v>
      </c>
      <c r="E21" t="str">
        <f>" l_"&amp;B12&amp;":"</f>
        <v xml:space="preserve"> l_Bonus_4000:</v>
      </c>
      <c r="G21" s="49" t="s">
        <v>210</v>
      </c>
      <c r="H21" s="49" t="s">
        <v>210</v>
      </c>
    </row>
    <row r="22" spans="1:9" x14ac:dyDescent="0.3">
      <c r="A22" s="21">
        <v>17</v>
      </c>
      <c r="B22" s="52"/>
      <c r="D22" t="str">
        <f>"  type:"&amp;D$1</f>
        <v xml:space="preserve">  type:rgb</v>
      </c>
      <c r="E22" t="str">
        <f>"  type:"&amp;D$1</f>
        <v xml:space="preserve">  type:rgb</v>
      </c>
      <c r="G22" s="49" t="str">
        <f>"    - number: "&amp;$B$4&amp;"-0-"&amp;I22</f>
        <v xml:space="preserve">    - number: 6-0-7</v>
      </c>
      <c r="H22" s="49" t="str">
        <f>"    - number: "&amp;$B$4&amp;"-0-"&amp;I22</f>
        <v xml:space="preserve">    - number: 6-0-7</v>
      </c>
      <c r="I22" s="56">
        <f>I12+4</f>
        <v>7</v>
      </c>
    </row>
    <row r="23" spans="1:9" x14ac:dyDescent="0.3">
      <c r="A23" s="21">
        <v>18</v>
      </c>
      <c r="B23" s="52"/>
      <c r="D23" t="str">
        <f>"  number: "&amp;B$4&amp;"-0-"&amp;A12</f>
        <v xml:space="preserve">  number: 6-0-7</v>
      </c>
      <c r="E23" t="str">
        <f>"  number: "&amp;B$4&amp;"-0-"&amp;A12</f>
        <v xml:space="preserve">  number: 6-0-7</v>
      </c>
      <c r="G23" t="str">
        <f ca="1">" l_"&amp;OFFSET(B$6,(A26-1)/10,0)&amp;":"</f>
        <v xml:space="preserve"> l_Bonus_8000:</v>
      </c>
      <c r="H23" t="str">
        <f ca="1">" l_"&amp;OFFSET(B$6,(A26-1)/10,0)&amp;":"</f>
        <v xml:space="preserve"> l_Bonus_8000:</v>
      </c>
    </row>
    <row r="24" spans="1:9" x14ac:dyDescent="0.3">
      <c r="A24" s="21">
        <v>19</v>
      </c>
      <c r="B24" s="52"/>
      <c r="D24" t="str">
        <f>" l_"&amp;B13&amp;":"</f>
        <v xml:space="preserve"> l_Bonus_3000:</v>
      </c>
      <c r="E24" t="str">
        <f>" l_"&amp;B13&amp;":"</f>
        <v xml:space="preserve"> l_Bonus_3000:</v>
      </c>
      <c r="G24" s="49" t="s">
        <v>195</v>
      </c>
      <c r="H24" s="49" t="s">
        <v>195</v>
      </c>
    </row>
    <row r="25" spans="1:9" x14ac:dyDescent="0.3">
      <c r="A25" s="21">
        <v>20</v>
      </c>
      <c r="B25" s="52"/>
      <c r="D25" t="str">
        <f>"  type:"&amp;D$1</f>
        <v xml:space="preserve">  type:rgb</v>
      </c>
      <c r="E25" t="str">
        <f>"  type:"&amp;D$1</f>
        <v xml:space="preserve">  type:rgb</v>
      </c>
      <c r="G25" s="49" t="s">
        <v>198</v>
      </c>
      <c r="H25" s="49" t="s">
        <v>199</v>
      </c>
    </row>
    <row r="26" spans="1:9" x14ac:dyDescent="0.3">
      <c r="A26" s="21">
        <v>21</v>
      </c>
      <c r="B26" s="52"/>
      <c r="D26" t="str">
        <f>"  number: "&amp;B$4&amp;"-0-"&amp;A13</f>
        <v xml:space="preserve">  number: 6-0-8</v>
      </c>
      <c r="E26" t="str">
        <f>"  number: "&amp;B$4&amp;"-0-"&amp;A13</f>
        <v xml:space="preserve">  number: 6-0-8</v>
      </c>
      <c r="G26" s="49" t="str">
        <f>"    - number: "&amp;$B$4&amp;"-0-"&amp;I26</f>
        <v xml:space="preserve">    - number: 6-0-8</v>
      </c>
      <c r="H26" s="49" t="str">
        <f>"    - number: "&amp;$B$4&amp;"-0-"&amp;I26</f>
        <v xml:space="preserve">    - number: 6-0-8</v>
      </c>
      <c r="I26" s="56">
        <f>I16+4</f>
        <v>8</v>
      </c>
    </row>
    <row r="27" spans="1:9" x14ac:dyDescent="0.3">
      <c r="A27" s="21">
        <v>22</v>
      </c>
      <c r="B27" s="52"/>
      <c r="D27" t="str">
        <f>" l_"&amp;B14&amp;":"</f>
        <v xml:space="preserve"> l_Bonus_2000:</v>
      </c>
      <c r="E27" t="str">
        <f>" l_"&amp;B14&amp;":"</f>
        <v xml:space="preserve"> l_Bonus_2000:</v>
      </c>
      <c r="G27" s="49" t="s">
        <v>199</v>
      </c>
      <c r="H27" s="49" t="s">
        <v>198</v>
      </c>
    </row>
    <row r="28" spans="1:9" x14ac:dyDescent="0.3">
      <c r="A28" s="21">
        <v>23</v>
      </c>
      <c r="B28" s="52"/>
      <c r="D28" t="str">
        <f>"  type:"&amp;D$1</f>
        <v xml:space="preserve">  type:rgb</v>
      </c>
      <c r="E28" t="str">
        <f>"  type:"&amp;D$1</f>
        <v xml:space="preserve">  type:rgb</v>
      </c>
      <c r="G28" s="49" t="str">
        <f>"    - number: "&amp;$B$4&amp;"-0-"&amp;I28</f>
        <v xml:space="preserve">    - number: 6-0-9</v>
      </c>
      <c r="H28" s="49" t="str">
        <f>"    - number: "&amp;$B$4&amp;"-0-"&amp;I28</f>
        <v xml:space="preserve">    - number: 6-0-9</v>
      </c>
      <c r="I28" s="56">
        <f>I18+4</f>
        <v>9</v>
      </c>
    </row>
    <row r="29" spans="1:9" x14ac:dyDescent="0.3">
      <c r="A29" s="21">
        <v>24</v>
      </c>
      <c r="B29" s="52"/>
      <c r="D29" t="str">
        <f>"  number: "&amp;B$4&amp;"-0-"&amp;A14</f>
        <v xml:space="preserve">  number: 6-0-9</v>
      </c>
      <c r="E29" t="str">
        <f>"  number: "&amp;B$4&amp;"-0-"&amp;A14</f>
        <v xml:space="preserve">  number: 6-0-9</v>
      </c>
      <c r="G29" s="49" t="s">
        <v>209</v>
      </c>
      <c r="H29" s="49" t="s">
        <v>209</v>
      </c>
    </row>
    <row r="30" spans="1:9" x14ac:dyDescent="0.3">
      <c r="A30" s="21">
        <v>25</v>
      </c>
      <c r="B30" s="52"/>
      <c r="D30" t="str">
        <f>" l_"&amp;B15&amp;":"</f>
        <v xml:space="preserve"> l_Bonus_1000:</v>
      </c>
      <c r="E30" t="str">
        <f>" l_"&amp;B15&amp;":"</f>
        <v xml:space="preserve"> l_Bonus_1000:</v>
      </c>
      <c r="G30" s="49" t="str">
        <f>"    - number: "&amp;$B$4&amp;"-0-"&amp;I30</f>
        <v xml:space="preserve">    - number: 6-0-10</v>
      </c>
      <c r="H30" s="49" t="str">
        <f>"    - number: "&amp;$B$4&amp;"-0-"&amp;I30</f>
        <v xml:space="preserve">    - number: 6-0-10</v>
      </c>
      <c r="I30" s="56">
        <f>I20+4</f>
        <v>10</v>
      </c>
    </row>
    <row r="31" spans="1:9" x14ac:dyDescent="0.3">
      <c r="A31" s="21">
        <v>26</v>
      </c>
      <c r="B31" s="52"/>
      <c r="D31" t="str">
        <f>"  type:"&amp;D$1</f>
        <v xml:space="preserve">  type:rgb</v>
      </c>
      <c r="E31" t="str">
        <f>"  type:"&amp;D$1</f>
        <v xml:space="preserve">  type:rgb</v>
      </c>
      <c r="G31" s="49" t="s">
        <v>210</v>
      </c>
      <c r="H31" s="49" t="s">
        <v>210</v>
      </c>
    </row>
    <row r="32" spans="1:9" x14ac:dyDescent="0.3">
      <c r="A32" s="21">
        <v>27</v>
      </c>
      <c r="B32" s="52"/>
      <c r="D32" t="str">
        <f>"  number: "&amp;B$4&amp;"-0-"&amp;A15</f>
        <v xml:space="preserve">  number: 6-0-10</v>
      </c>
      <c r="E32" t="str">
        <f>"  number: "&amp;B$4&amp;"-0-"&amp;A15</f>
        <v xml:space="preserve">  number: 6-0-10</v>
      </c>
      <c r="G32" s="49" t="str">
        <f>"    - number: "&amp;$B$4&amp;"-0-"&amp;I32</f>
        <v xml:space="preserve">    - number: 6-0-11</v>
      </c>
      <c r="H32" s="49" t="str">
        <f>"    - number: "&amp;$B$4&amp;"-0-"&amp;I32</f>
        <v xml:space="preserve">    - number: 6-0-11</v>
      </c>
      <c r="I32" s="56">
        <f>I22+4</f>
        <v>11</v>
      </c>
    </row>
    <row r="33" spans="1:9" x14ac:dyDescent="0.3">
      <c r="A33" s="21">
        <v>28</v>
      </c>
      <c r="B33" s="52"/>
      <c r="D33" t="str">
        <f>" l_"&amp;B16&amp;":"</f>
        <v xml:space="preserve"> l_:</v>
      </c>
      <c r="E33" t="str">
        <f>" l_"&amp;B16&amp;":"</f>
        <v xml:space="preserve"> l_:</v>
      </c>
      <c r="G33" t="str">
        <f ca="1">" l_"&amp;OFFSET(B$6,(A36-1)/10,0)&amp;":"</f>
        <v xml:space="preserve"> l_Bonus_7000:</v>
      </c>
      <c r="H33" t="str">
        <f ca="1">" l_"&amp;OFFSET(B$6,(A36-1)/10,0)&amp;":"</f>
        <v xml:space="preserve"> l_Bonus_7000:</v>
      </c>
    </row>
    <row r="34" spans="1:9" x14ac:dyDescent="0.3">
      <c r="A34" s="21">
        <v>29</v>
      </c>
      <c r="B34" s="52"/>
      <c r="D34" t="str">
        <f>"  type:"&amp;D$1</f>
        <v xml:space="preserve">  type:rgb</v>
      </c>
      <c r="E34" t="str">
        <f>"  type:"&amp;D$1</f>
        <v xml:space="preserve">  type:rgb</v>
      </c>
      <c r="G34" s="49" t="s">
        <v>195</v>
      </c>
      <c r="H34" s="49" t="s">
        <v>195</v>
      </c>
    </row>
    <row r="35" spans="1:9" x14ac:dyDescent="0.3">
      <c r="A35" s="21">
        <v>30</v>
      </c>
      <c r="B35" s="52"/>
      <c r="D35" t="str">
        <f>"  number: "&amp;B$4&amp;"-0-"&amp;A16</f>
        <v xml:space="preserve">  number: 6-0-11</v>
      </c>
      <c r="E35" t="str">
        <f>"  number: "&amp;B$4&amp;"-0-"&amp;A16</f>
        <v xml:space="preserve">  number: 6-0-11</v>
      </c>
      <c r="G35" s="49" t="s">
        <v>198</v>
      </c>
      <c r="H35" s="49" t="s">
        <v>199</v>
      </c>
    </row>
    <row r="36" spans="1:9" x14ac:dyDescent="0.3">
      <c r="A36" s="21">
        <v>31</v>
      </c>
      <c r="B36" s="52"/>
      <c r="D36" t="str">
        <f>" l_"&amp;B17&amp;":"</f>
        <v xml:space="preserve"> l_:</v>
      </c>
      <c r="E36" t="str">
        <f>" l_"&amp;B17&amp;":"</f>
        <v xml:space="preserve"> l_:</v>
      </c>
      <c r="G36" s="49" t="str">
        <f>"    - number: "&amp;$B$4&amp;"-0-"&amp;I36</f>
        <v xml:space="preserve">    - number: 6-0-12</v>
      </c>
      <c r="H36" s="49" t="str">
        <f>"    - number: "&amp;$B$4&amp;"-0-"&amp;I36</f>
        <v xml:space="preserve">    - number: 6-0-12</v>
      </c>
      <c r="I36" s="56">
        <f>I26+4</f>
        <v>12</v>
      </c>
    </row>
    <row r="37" spans="1:9" x14ac:dyDescent="0.3">
      <c r="A37" s="21">
        <v>32</v>
      </c>
      <c r="B37" s="52"/>
      <c r="D37" t="str">
        <f>"  type:"&amp;D$1</f>
        <v xml:space="preserve">  type:rgb</v>
      </c>
      <c r="E37" t="str">
        <f>"  type:"&amp;D$1</f>
        <v xml:space="preserve">  type:rgb</v>
      </c>
      <c r="G37" s="49" t="s">
        <v>199</v>
      </c>
      <c r="H37" s="49" t="s">
        <v>198</v>
      </c>
    </row>
    <row r="38" spans="1:9" x14ac:dyDescent="0.3">
      <c r="A38" s="21">
        <v>33</v>
      </c>
      <c r="B38" s="52"/>
      <c r="D38" t="str">
        <f>"  number: "&amp;B$4&amp;"-0-"&amp;A17</f>
        <v xml:space="preserve">  number: 6-0-12</v>
      </c>
      <c r="E38" t="str">
        <f>"  number: "&amp;B$4&amp;"-0-"&amp;A17</f>
        <v xml:space="preserve">  number: 6-0-12</v>
      </c>
      <c r="G38" s="49" t="str">
        <f>"    - number: "&amp;$B$4&amp;"-0-"&amp;I38</f>
        <v xml:space="preserve">    - number: 6-0-13</v>
      </c>
      <c r="H38" s="49" t="str">
        <f>"    - number: "&amp;$B$4&amp;"-0-"&amp;I38</f>
        <v xml:space="preserve">    - number: 6-0-13</v>
      </c>
      <c r="I38" s="56">
        <f>I28+4</f>
        <v>13</v>
      </c>
    </row>
    <row r="39" spans="1:9" x14ac:dyDescent="0.3">
      <c r="A39" s="21">
        <v>34</v>
      </c>
      <c r="B39" s="52"/>
      <c r="D39" t="str">
        <f>" l_"&amp;B18&amp;":"</f>
        <v xml:space="preserve"> l_:</v>
      </c>
      <c r="E39" t="str">
        <f>" l_"&amp;B18&amp;":"</f>
        <v xml:space="preserve"> l_:</v>
      </c>
      <c r="G39" s="49" t="s">
        <v>209</v>
      </c>
      <c r="H39" s="49" t="s">
        <v>209</v>
      </c>
    </row>
    <row r="40" spans="1:9" x14ac:dyDescent="0.3">
      <c r="A40" s="21">
        <v>35</v>
      </c>
      <c r="B40" s="52"/>
      <c r="D40" t="str">
        <f>"  type:"&amp;D$1</f>
        <v xml:space="preserve">  type:rgb</v>
      </c>
      <c r="E40" t="str">
        <f>"  type:"&amp;D$1</f>
        <v xml:space="preserve">  type:rgb</v>
      </c>
      <c r="G40" s="49" t="str">
        <f>"    - number: "&amp;$B$4&amp;"-0-"&amp;I40</f>
        <v xml:space="preserve">    - number: 6-0-14</v>
      </c>
      <c r="H40" s="49" t="str">
        <f>"    - number: "&amp;$B$4&amp;"-0-"&amp;I40</f>
        <v xml:space="preserve">    - number: 6-0-14</v>
      </c>
      <c r="I40" s="56">
        <f>I30+4</f>
        <v>14</v>
      </c>
    </row>
    <row r="41" spans="1:9" x14ac:dyDescent="0.3">
      <c r="A41" s="21">
        <v>36</v>
      </c>
      <c r="B41" s="52"/>
      <c r="D41" t="str">
        <f>"  number: "&amp;B$4&amp;"-0-"&amp;A18</f>
        <v xml:space="preserve">  number: 6-0-13</v>
      </c>
      <c r="E41" t="str">
        <f>"  number: "&amp;B$4&amp;"-0-"&amp;A18</f>
        <v xml:space="preserve">  number: 6-0-13</v>
      </c>
      <c r="G41" s="49" t="s">
        <v>210</v>
      </c>
      <c r="H41" s="49" t="s">
        <v>210</v>
      </c>
    </row>
    <row r="42" spans="1:9" x14ac:dyDescent="0.3">
      <c r="A42" s="21">
        <v>37</v>
      </c>
      <c r="B42" s="52"/>
      <c r="D42" t="str">
        <f>" l_"&amp;B19&amp;":"</f>
        <v xml:space="preserve"> l_:</v>
      </c>
      <c r="E42" t="str">
        <f>" l_"&amp;B19&amp;":"</f>
        <v xml:space="preserve"> l_:</v>
      </c>
      <c r="G42" s="49" t="str">
        <f>"    - number: "&amp;$B$4&amp;"-0-"&amp;I42</f>
        <v xml:space="preserve">    - number: 6-0-15</v>
      </c>
      <c r="H42" s="49" t="str">
        <f>"    - number: "&amp;$B$4&amp;"-0-"&amp;I42</f>
        <v xml:space="preserve">    - number: 6-0-15</v>
      </c>
      <c r="I42" s="56">
        <f>I32+4</f>
        <v>15</v>
      </c>
    </row>
    <row r="43" spans="1:9" x14ac:dyDescent="0.3">
      <c r="A43" s="21">
        <v>38</v>
      </c>
      <c r="B43" s="52"/>
      <c r="D43" t="str">
        <f>"  type:"&amp;D$1</f>
        <v xml:space="preserve">  type:rgb</v>
      </c>
      <c r="E43" t="str">
        <f>"  type:"&amp;D$1</f>
        <v xml:space="preserve">  type:rgb</v>
      </c>
      <c r="G43" t="str">
        <f ca="1">" l_"&amp;OFFSET(B$6,(A46-1)/10,0)&amp;":"</f>
        <v xml:space="preserve"> l_Bonus_6000:</v>
      </c>
      <c r="H43" t="str">
        <f ca="1">" l_"&amp;OFFSET(B$6,(A46-1)/10,0)&amp;":"</f>
        <v xml:space="preserve"> l_Bonus_6000:</v>
      </c>
    </row>
    <row r="44" spans="1:9" x14ac:dyDescent="0.3">
      <c r="A44" s="21">
        <v>39</v>
      </c>
      <c r="B44" s="52"/>
      <c r="D44" t="str">
        <f>"  number: "&amp;B$4&amp;"-0-"&amp;A19</f>
        <v xml:space="preserve">  number: 6-0-14</v>
      </c>
      <c r="E44" t="str">
        <f>"  number: "&amp;B$4&amp;"-0-"&amp;A19</f>
        <v xml:space="preserve">  number: 6-0-14</v>
      </c>
      <c r="G44" s="49" t="s">
        <v>195</v>
      </c>
      <c r="H44" s="49" t="s">
        <v>195</v>
      </c>
    </row>
    <row r="45" spans="1:9" x14ac:dyDescent="0.3">
      <c r="A45" s="21">
        <v>40</v>
      </c>
      <c r="B45" s="52"/>
      <c r="D45" t="str">
        <f>" l_"&amp;B20&amp;":"</f>
        <v xml:space="preserve"> l_:</v>
      </c>
      <c r="E45" t="str">
        <f>" l_"&amp;B20&amp;":"</f>
        <v xml:space="preserve"> l_:</v>
      </c>
      <c r="G45" s="49" t="s">
        <v>198</v>
      </c>
      <c r="H45" s="49" t="s">
        <v>199</v>
      </c>
    </row>
    <row r="46" spans="1:9" x14ac:dyDescent="0.3">
      <c r="A46" s="21">
        <v>41</v>
      </c>
      <c r="B46" s="52"/>
      <c r="D46" t="str">
        <f>"  type:"&amp;D$1</f>
        <v xml:space="preserve">  type:rgb</v>
      </c>
      <c r="E46" t="str">
        <f>"  type:"&amp;D$1</f>
        <v xml:space="preserve">  type:rgb</v>
      </c>
      <c r="G46" s="49" t="str">
        <f>"    - number: "&amp;$B$4&amp;"-0-"&amp;I46</f>
        <v xml:space="preserve">    - number: 6-0-16</v>
      </c>
      <c r="H46" s="49" t="str">
        <f>"    - number: "&amp;$B$4&amp;"-0-"&amp;I46</f>
        <v xml:space="preserve">    - number: 6-0-16</v>
      </c>
      <c r="I46" s="56">
        <f>I36+4</f>
        <v>16</v>
      </c>
    </row>
    <row r="47" spans="1:9" x14ac:dyDescent="0.3">
      <c r="A47" s="21">
        <v>42</v>
      </c>
      <c r="B47" s="52"/>
      <c r="D47" t="str">
        <f>"  number: "&amp;B$4&amp;"-0-"&amp;A20</f>
        <v xml:space="preserve">  number: 6-0-15</v>
      </c>
      <c r="E47" t="str">
        <f>"  number: "&amp;B$4&amp;"-0-"&amp;A20</f>
        <v xml:space="preserve">  number: 6-0-15</v>
      </c>
      <c r="G47" s="49" t="s">
        <v>199</v>
      </c>
      <c r="H47" s="49" t="s">
        <v>198</v>
      </c>
    </row>
    <row r="48" spans="1:9" x14ac:dyDescent="0.3">
      <c r="A48" s="21">
        <v>43</v>
      </c>
      <c r="B48" s="52"/>
      <c r="D48" t="str">
        <f>" l_"&amp;B21&amp;":"</f>
        <v xml:space="preserve"> l_:</v>
      </c>
      <c r="E48" t="str">
        <f>" l_"&amp;B21&amp;":"</f>
        <v xml:space="preserve"> l_:</v>
      </c>
      <c r="G48" s="49" t="str">
        <f>"    - number: "&amp;$B$4&amp;"-0-"&amp;I48</f>
        <v xml:space="preserve">    - number: 6-0-17</v>
      </c>
      <c r="H48" s="49" t="str">
        <f>"    - number: "&amp;$B$4&amp;"-0-"&amp;I48</f>
        <v xml:space="preserve">    - number: 6-0-17</v>
      </c>
      <c r="I48" s="56">
        <f>I38+4</f>
        <v>17</v>
      </c>
    </row>
    <row r="49" spans="1:9" x14ac:dyDescent="0.3">
      <c r="A49" s="21">
        <v>44</v>
      </c>
      <c r="B49" s="52"/>
      <c r="D49" t="str">
        <f>"  type:"&amp;D$1</f>
        <v xml:space="preserve">  type:rgb</v>
      </c>
      <c r="E49" t="str">
        <f>"  type:"&amp;D$1</f>
        <v xml:space="preserve">  type:rgb</v>
      </c>
      <c r="G49" s="49" t="s">
        <v>209</v>
      </c>
      <c r="H49" s="49" t="s">
        <v>209</v>
      </c>
    </row>
    <row r="50" spans="1:9" x14ac:dyDescent="0.3">
      <c r="A50" s="21">
        <v>45</v>
      </c>
      <c r="B50" s="52"/>
      <c r="D50" t="str">
        <f>"  number: "&amp;B$4&amp;"-0-"&amp;A21</f>
        <v xml:space="preserve">  number: 6-0-16</v>
      </c>
      <c r="E50" t="str">
        <f>"  number: "&amp;B$4&amp;"-0-"&amp;A21</f>
        <v xml:space="preserve">  number: 6-0-16</v>
      </c>
      <c r="G50" s="49" t="str">
        <f>"    - number: "&amp;$B$4&amp;"-0-"&amp;I50</f>
        <v xml:space="preserve">    - number: 6-0-18</v>
      </c>
      <c r="H50" s="49" t="str">
        <f>"    - number: "&amp;$B$4&amp;"-0-"&amp;I50</f>
        <v xml:space="preserve">    - number: 6-0-18</v>
      </c>
      <c r="I50" s="56">
        <f>I40+4</f>
        <v>18</v>
      </c>
    </row>
    <row r="51" spans="1:9" x14ac:dyDescent="0.3">
      <c r="A51" s="21">
        <v>46</v>
      </c>
      <c r="B51" s="52"/>
      <c r="D51" t="str">
        <f>" l_"&amp;B22&amp;":"</f>
        <v xml:space="preserve"> l_:</v>
      </c>
      <c r="E51" t="str">
        <f>" l_"&amp;B22&amp;":"</f>
        <v xml:space="preserve"> l_:</v>
      </c>
      <c r="G51" s="49" t="s">
        <v>210</v>
      </c>
      <c r="H51" s="49" t="s">
        <v>210</v>
      </c>
    </row>
    <row r="52" spans="1:9" x14ac:dyDescent="0.3">
      <c r="A52" s="21">
        <v>47</v>
      </c>
      <c r="B52" s="52"/>
      <c r="D52" t="str">
        <f>"  type:"&amp;D$1</f>
        <v xml:space="preserve">  type:rgb</v>
      </c>
      <c r="E52" t="str">
        <f>"  type:"&amp;D$1</f>
        <v xml:space="preserve">  type:rgb</v>
      </c>
      <c r="G52" s="49" t="str">
        <f>"    - number: "&amp;$B$4&amp;"-0-"&amp;I52</f>
        <v xml:space="preserve">    - number: 6-0-19</v>
      </c>
      <c r="H52" s="49" t="str">
        <f>"    - number: "&amp;$B$4&amp;"-0-"&amp;I52</f>
        <v xml:space="preserve">    - number: 6-0-19</v>
      </c>
      <c r="I52" s="56">
        <f>I42+4</f>
        <v>19</v>
      </c>
    </row>
    <row r="53" spans="1:9" x14ac:dyDescent="0.3">
      <c r="A53" s="21">
        <v>48</v>
      </c>
      <c r="B53" s="52"/>
      <c r="D53" t="str">
        <f>"  number: "&amp;B$4&amp;"-0-"&amp;A22</f>
        <v xml:space="preserve">  number: 6-0-17</v>
      </c>
      <c r="E53" t="str">
        <f>"  number: "&amp;B$4&amp;"-0-"&amp;A22</f>
        <v xml:space="preserve">  number: 6-0-17</v>
      </c>
      <c r="G53" t="str">
        <f ca="1">" l_"&amp;OFFSET(B$6,(A56-1)/10,0)&amp;":"</f>
        <v xml:space="preserve"> l_Bonus_5000:</v>
      </c>
      <c r="H53" t="str">
        <f ca="1">" l_"&amp;OFFSET(B$6,(A56-1)/10,0)&amp;":"</f>
        <v xml:space="preserve"> l_Bonus_5000:</v>
      </c>
    </row>
    <row r="54" spans="1:9" x14ac:dyDescent="0.3">
      <c r="A54" s="21">
        <v>49</v>
      </c>
      <c r="B54" s="52"/>
      <c r="D54" t="str">
        <f>" l_"&amp;B23&amp;":"</f>
        <v xml:space="preserve"> l_:</v>
      </c>
      <c r="E54" t="str">
        <f>" l_"&amp;B23&amp;":"</f>
        <v xml:space="preserve"> l_:</v>
      </c>
      <c r="G54" s="49" t="s">
        <v>195</v>
      </c>
      <c r="H54" s="49" t="s">
        <v>195</v>
      </c>
    </row>
    <row r="55" spans="1:9" x14ac:dyDescent="0.3">
      <c r="A55" s="23">
        <v>50</v>
      </c>
      <c r="B55" s="53"/>
      <c r="D55" t="str">
        <f>"  type:"&amp;D$1</f>
        <v xml:space="preserve">  type:rgb</v>
      </c>
      <c r="E55" t="str">
        <f>"  type:"&amp;D$1</f>
        <v xml:space="preserve">  type:rgb</v>
      </c>
      <c r="G55" s="49" t="s">
        <v>198</v>
      </c>
      <c r="H55" s="49" t="s">
        <v>199</v>
      </c>
    </row>
    <row r="56" spans="1:9" x14ac:dyDescent="0.3">
      <c r="A56" s="54">
        <v>51</v>
      </c>
      <c r="D56" t="str">
        <f>"  number: "&amp;B$4&amp;"-0-"&amp;A23</f>
        <v xml:space="preserve">  number: 6-0-18</v>
      </c>
      <c r="E56" t="str">
        <f>"  number: "&amp;B$4&amp;"-0-"&amp;A23</f>
        <v xml:space="preserve">  number: 6-0-18</v>
      </c>
      <c r="G56" s="49" t="str">
        <f>"    - number: "&amp;$B$4&amp;"-0-"&amp;I56</f>
        <v xml:space="preserve">    - number: 6-0-20</v>
      </c>
      <c r="H56" s="49" t="str">
        <f>"    - number: "&amp;$B$4&amp;"-0-"&amp;I56</f>
        <v xml:space="preserve">    - number: 6-0-20</v>
      </c>
      <c r="I56" s="56">
        <f>I46+4</f>
        <v>20</v>
      </c>
    </row>
    <row r="57" spans="1:9" x14ac:dyDescent="0.3">
      <c r="A57" s="54">
        <v>52</v>
      </c>
      <c r="D57" t="str">
        <f>" l_"&amp;B24&amp;":"</f>
        <v xml:space="preserve"> l_:</v>
      </c>
      <c r="E57" t="str">
        <f>" l_"&amp;B24&amp;":"</f>
        <v xml:space="preserve"> l_:</v>
      </c>
      <c r="G57" s="49" t="s">
        <v>199</v>
      </c>
      <c r="H57" s="49" t="s">
        <v>198</v>
      </c>
    </row>
    <row r="58" spans="1:9" x14ac:dyDescent="0.3">
      <c r="A58" s="54">
        <v>53</v>
      </c>
      <c r="D58" t="str">
        <f>"  type:"&amp;D$1</f>
        <v xml:space="preserve">  type:rgb</v>
      </c>
      <c r="E58" t="str">
        <f>"  type:"&amp;D$1</f>
        <v xml:space="preserve">  type:rgb</v>
      </c>
      <c r="G58" s="49" t="str">
        <f>"    - number: "&amp;$B$4&amp;"-0-"&amp;I58</f>
        <v xml:space="preserve">    - number: 6-0-21</v>
      </c>
      <c r="H58" s="49" t="str">
        <f>"    - number: "&amp;$B$4&amp;"-0-"&amp;I58</f>
        <v xml:space="preserve">    - number: 6-0-21</v>
      </c>
      <c r="I58" s="56">
        <f>I48+4</f>
        <v>21</v>
      </c>
    </row>
    <row r="59" spans="1:9" x14ac:dyDescent="0.3">
      <c r="A59" s="54">
        <v>54</v>
      </c>
      <c r="D59" t="str">
        <f>"  number: "&amp;B$4&amp;"-0-"&amp;A24</f>
        <v xml:space="preserve">  number: 6-0-19</v>
      </c>
      <c r="E59" t="str">
        <f>"  number: "&amp;B$4&amp;"-0-"&amp;A24</f>
        <v xml:space="preserve">  number: 6-0-19</v>
      </c>
      <c r="G59" s="49" t="s">
        <v>209</v>
      </c>
      <c r="H59" s="49" t="s">
        <v>209</v>
      </c>
    </row>
    <row r="60" spans="1:9" x14ac:dyDescent="0.3">
      <c r="A60" s="54">
        <v>55</v>
      </c>
      <c r="D60" t="str">
        <f>" l_"&amp;B25&amp;":"</f>
        <v xml:space="preserve"> l_:</v>
      </c>
      <c r="E60" t="str">
        <f>" l_"&amp;B25&amp;":"</f>
        <v xml:space="preserve"> l_:</v>
      </c>
      <c r="G60" s="49" t="str">
        <f>"    - number: "&amp;$B$4&amp;"-0-"&amp;I60</f>
        <v xml:space="preserve">    - number: 6-0-22</v>
      </c>
      <c r="H60" s="49" t="str">
        <f>"    - number: "&amp;$B$4&amp;"-0-"&amp;I60</f>
        <v xml:space="preserve">    - number: 6-0-22</v>
      </c>
      <c r="I60" s="56">
        <f>I50+4</f>
        <v>22</v>
      </c>
    </row>
    <row r="61" spans="1:9" x14ac:dyDescent="0.3">
      <c r="A61" s="54">
        <v>56</v>
      </c>
      <c r="D61" t="str">
        <f>"  type:"&amp;D$1</f>
        <v xml:space="preserve">  type:rgb</v>
      </c>
      <c r="E61" t="str">
        <f>"  type:"&amp;D$1</f>
        <v xml:space="preserve">  type:rgb</v>
      </c>
      <c r="G61" s="49" t="s">
        <v>210</v>
      </c>
      <c r="H61" s="49" t="s">
        <v>210</v>
      </c>
    </row>
    <row r="62" spans="1:9" x14ac:dyDescent="0.3">
      <c r="A62" s="54">
        <v>57</v>
      </c>
      <c r="D62" t="str">
        <f>"  number: "&amp;B$4&amp;"-0-"&amp;A25</f>
        <v xml:space="preserve">  number: 6-0-20</v>
      </c>
      <c r="E62" t="str">
        <f>"  number: "&amp;B$4&amp;"-0-"&amp;A25</f>
        <v xml:space="preserve">  number: 6-0-20</v>
      </c>
      <c r="G62" s="49" t="str">
        <f>"    - number: "&amp;$B$4&amp;"-0-"&amp;I62</f>
        <v xml:space="preserve">    - number: 6-0-23</v>
      </c>
      <c r="H62" s="49" t="str">
        <f>"    - number: "&amp;$B$4&amp;"-0-"&amp;I62</f>
        <v xml:space="preserve">    - number: 6-0-23</v>
      </c>
      <c r="I62" s="56">
        <f>I52+4</f>
        <v>23</v>
      </c>
    </row>
    <row r="63" spans="1:9" x14ac:dyDescent="0.3">
      <c r="A63" s="54">
        <v>58</v>
      </c>
      <c r="D63" t="str">
        <f>" l_"&amp;B26&amp;":"</f>
        <v xml:space="preserve"> l_:</v>
      </c>
      <c r="E63" t="str">
        <f>" l_"&amp;B26&amp;":"</f>
        <v xml:space="preserve"> l_:</v>
      </c>
      <c r="G63" t="str">
        <f ca="1">" l_"&amp;OFFSET(B$6,(A66-1)/10,0)&amp;":"</f>
        <v xml:space="preserve"> l_Bonus_4000:</v>
      </c>
      <c r="H63" t="str">
        <f ca="1">" l_"&amp;OFFSET(B$6,(A66-1)/10,0)&amp;":"</f>
        <v xml:space="preserve"> l_Bonus_4000:</v>
      </c>
    </row>
    <row r="64" spans="1:9" x14ac:dyDescent="0.3">
      <c r="A64" s="54">
        <v>59</v>
      </c>
      <c r="D64" t="str">
        <f>"  type:"&amp;D$1</f>
        <v xml:space="preserve">  type:rgb</v>
      </c>
      <c r="E64" t="str">
        <f>"  type:"&amp;D$1</f>
        <v xml:space="preserve">  type:rgb</v>
      </c>
      <c r="G64" s="49" t="s">
        <v>195</v>
      </c>
      <c r="H64" s="49" t="s">
        <v>195</v>
      </c>
    </row>
    <row r="65" spans="1:9" x14ac:dyDescent="0.3">
      <c r="A65" s="54">
        <v>60</v>
      </c>
      <c r="D65" t="str">
        <f>"  number: "&amp;B$4&amp;"-0-"&amp;A26</f>
        <v xml:space="preserve">  number: 6-0-21</v>
      </c>
      <c r="E65" t="str">
        <f>"  number: "&amp;B$4&amp;"-0-"&amp;A26</f>
        <v xml:space="preserve">  number: 6-0-21</v>
      </c>
      <c r="G65" s="49" t="s">
        <v>198</v>
      </c>
      <c r="H65" s="49" t="s">
        <v>199</v>
      </c>
    </row>
    <row r="66" spans="1:9" x14ac:dyDescent="0.3">
      <c r="A66" s="54">
        <v>61</v>
      </c>
      <c r="D66" t="str">
        <f>" l_"&amp;B27&amp;":"</f>
        <v xml:space="preserve"> l_:</v>
      </c>
      <c r="E66" t="str">
        <f>" l_"&amp;B27&amp;":"</f>
        <v xml:space="preserve"> l_:</v>
      </c>
      <c r="G66" s="49" t="str">
        <f>"    - number: "&amp;$B$4&amp;"-0-"&amp;I66</f>
        <v xml:space="preserve">    - number: 6-0-24</v>
      </c>
      <c r="H66" s="49" t="str">
        <f>"    - number: "&amp;$B$4&amp;"-0-"&amp;I66</f>
        <v xml:space="preserve">    - number: 6-0-24</v>
      </c>
      <c r="I66" s="56">
        <f>I56+4</f>
        <v>24</v>
      </c>
    </row>
    <row r="67" spans="1:9" x14ac:dyDescent="0.3">
      <c r="A67" s="54">
        <v>62</v>
      </c>
      <c r="D67" t="str">
        <f>"  type:"&amp;D$1</f>
        <v xml:space="preserve">  type:rgb</v>
      </c>
      <c r="E67" t="str">
        <f>"  type:"&amp;D$1</f>
        <v xml:space="preserve">  type:rgb</v>
      </c>
      <c r="G67" s="49" t="s">
        <v>199</v>
      </c>
      <c r="H67" s="49" t="s">
        <v>198</v>
      </c>
    </row>
    <row r="68" spans="1:9" x14ac:dyDescent="0.3">
      <c r="A68" s="54">
        <v>63</v>
      </c>
      <c r="D68" t="str">
        <f>"  number: "&amp;B$4&amp;"-0-"&amp;A27</f>
        <v xml:space="preserve">  number: 6-0-22</v>
      </c>
      <c r="E68" t="str">
        <f>"  number: "&amp;B$4&amp;"-0-"&amp;A27</f>
        <v xml:space="preserve">  number: 6-0-22</v>
      </c>
      <c r="G68" s="49" t="str">
        <f>"    - number: "&amp;$B$4&amp;"-0-"&amp;I68</f>
        <v xml:space="preserve">    - number: 6-0-25</v>
      </c>
      <c r="H68" s="49" t="str">
        <f>"    - number: "&amp;$B$4&amp;"-0-"&amp;I68</f>
        <v xml:space="preserve">    - number: 6-0-25</v>
      </c>
      <c r="I68" s="56">
        <f>I58+4</f>
        <v>25</v>
      </c>
    </row>
    <row r="69" spans="1:9" x14ac:dyDescent="0.3">
      <c r="A69" s="54">
        <v>64</v>
      </c>
      <c r="D69" t="str">
        <f>" l_"&amp;B28&amp;":"</f>
        <v xml:space="preserve"> l_:</v>
      </c>
      <c r="E69" t="str">
        <f>" l_"&amp;B28&amp;":"</f>
        <v xml:space="preserve"> l_:</v>
      </c>
      <c r="G69" s="49" t="s">
        <v>209</v>
      </c>
      <c r="H69" s="49" t="s">
        <v>209</v>
      </c>
    </row>
    <row r="70" spans="1:9" x14ac:dyDescent="0.3">
      <c r="A70" s="54">
        <v>65</v>
      </c>
      <c r="D70" t="str">
        <f>"  type:"&amp;D$1</f>
        <v xml:space="preserve">  type:rgb</v>
      </c>
      <c r="E70" t="str">
        <f>"  type:"&amp;D$1</f>
        <v xml:space="preserve">  type:rgb</v>
      </c>
      <c r="G70" s="49" t="str">
        <f>"    - number: "&amp;$B$4&amp;"-0-"&amp;I70</f>
        <v xml:space="preserve">    - number: 6-0-26</v>
      </c>
      <c r="H70" s="49" t="str">
        <f>"    - number: "&amp;$B$4&amp;"-0-"&amp;I70</f>
        <v xml:space="preserve">    - number: 6-0-26</v>
      </c>
      <c r="I70" s="56">
        <f>I60+4</f>
        <v>26</v>
      </c>
    </row>
    <row r="71" spans="1:9" x14ac:dyDescent="0.3">
      <c r="A71" s="54">
        <v>66</v>
      </c>
      <c r="D71" t="str">
        <f>"  number: "&amp;B$4&amp;"-0-"&amp;A28</f>
        <v xml:space="preserve">  number: 6-0-23</v>
      </c>
      <c r="E71" t="str">
        <f>"  number: "&amp;B$4&amp;"-0-"&amp;A28</f>
        <v xml:space="preserve">  number: 6-0-23</v>
      </c>
      <c r="G71" s="49" t="s">
        <v>210</v>
      </c>
      <c r="H71" s="49" t="s">
        <v>210</v>
      </c>
    </row>
    <row r="72" spans="1:9" x14ac:dyDescent="0.3">
      <c r="A72" s="54">
        <v>67</v>
      </c>
      <c r="D72" t="str">
        <f>" l_"&amp;B29&amp;":"</f>
        <v xml:space="preserve"> l_:</v>
      </c>
      <c r="E72" t="str">
        <f>" l_"&amp;B29&amp;":"</f>
        <v xml:space="preserve"> l_:</v>
      </c>
      <c r="G72" s="49" t="str">
        <f>"    - number: "&amp;$B$4&amp;"-0-"&amp;I72</f>
        <v xml:space="preserve">    - number: 6-0-27</v>
      </c>
      <c r="H72" s="49" t="str">
        <f>"    - number: "&amp;$B$4&amp;"-0-"&amp;I72</f>
        <v xml:space="preserve">    - number: 6-0-27</v>
      </c>
      <c r="I72" s="56">
        <f>I62+4</f>
        <v>27</v>
      </c>
    </row>
    <row r="73" spans="1:9" x14ac:dyDescent="0.3">
      <c r="A73" s="54">
        <v>68</v>
      </c>
      <c r="D73" t="str">
        <f>"  type:"&amp;D$1</f>
        <v xml:space="preserve">  type:rgb</v>
      </c>
      <c r="E73" t="str">
        <f>"  type:"&amp;D$1</f>
        <v xml:space="preserve">  type:rgb</v>
      </c>
      <c r="G73" t="str">
        <f ca="1">" l_"&amp;OFFSET(B$6,(A76-1)/10,0)&amp;":"</f>
        <v xml:space="preserve"> l_Bonus_3000:</v>
      </c>
      <c r="H73" t="str">
        <f ca="1">" l_"&amp;OFFSET(B$6,(A76-1)/10,0)&amp;":"</f>
        <v xml:space="preserve"> l_Bonus_3000:</v>
      </c>
    </row>
    <row r="74" spans="1:9" x14ac:dyDescent="0.3">
      <c r="A74" s="54">
        <v>69</v>
      </c>
      <c r="D74" t="str">
        <f>"  number: "&amp;B$4&amp;"-0-"&amp;A29</f>
        <v xml:space="preserve">  number: 6-0-24</v>
      </c>
      <c r="E74" t="str">
        <f>"  number: "&amp;B$4&amp;"-0-"&amp;A29</f>
        <v xml:space="preserve">  number: 6-0-24</v>
      </c>
      <c r="G74" s="49" t="s">
        <v>195</v>
      </c>
      <c r="H74" s="49" t="s">
        <v>195</v>
      </c>
    </row>
    <row r="75" spans="1:9" x14ac:dyDescent="0.3">
      <c r="A75" s="54">
        <v>70</v>
      </c>
      <c r="D75" t="str">
        <f>" l_"&amp;B30&amp;":"</f>
        <v xml:space="preserve"> l_:</v>
      </c>
      <c r="E75" t="str">
        <f>" l_"&amp;B30&amp;":"</f>
        <v xml:space="preserve"> l_:</v>
      </c>
      <c r="G75" s="49" t="s">
        <v>198</v>
      </c>
      <c r="H75" s="49" t="s">
        <v>199</v>
      </c>
    </row>
    <row r="76" spans="1:9" x14ac:dyDescent="0.3">
      <c r="A76" s="54">
        <v>71</v>
      </c>
      <c r="D76" t="str">
        <f>"  type:"&amp;D$1</f>
        <v xml:space="preserve">  type:rgb</v>
      </c>
      <c r="E76" t="str">
        <f>"  type:"&amp;D$1</f>
        <v xml:space="preserve">  type:rgb</v>
      </c>
      <c r="G76" s="49" t="str">
        <f>"    - number: "&amp;$B$4&amp;"-0-"&amp;I76</f>
        <v xml:space="preserve">    - number: 6-0-28</v>
      </c>
      <c r="H76" s="49" t="str">
        <f>"    - number: "&amp;$B$4&amp;"-0-"&amp;I76</f>
        <v xml:space="preserve">    - number: 6-0-28</v>
      </c>
      <c r="I76" s="56">
        <f>I66+4</f>
        <v>28</v>
      </c>
    </row>
    <row r="77" spans="1:9" x14ac:dyDescent="0.3">
      <c r="A77" s="54">
        <v>72</v>
      </c>
      <c r="D77" t="str">
        <f>"  number: "&amp;B$4&amp;"-0-"&amp;A30</f>
        <v xml:space="preserve">  number: 6-0-25</v>
      </c>
      <c r="E77" t="str">
        <f>"  number: "&amp;B$4&amp;"-0-"&amp;A30</f>
        <v xml:space="preserve">  number: 6-0-25</v>
      </c>
      <c r="G77" s="49" t="s">
        <v>199</v>
      </c>
      <c r="H77" s="49" t="s">
        <v>198</v>
      </c>
    </row>
    <row r="78" spans="1:9" x14ac:dyDescent="0.3">
      <c r="A78" s="54">
        <v>73</v>
      </c>
      <c r="D78" t="str">
        <f>" l_"&amp;B31&amp;":"</f>
        <v xml:space="preserve"> l_:</v>
      </c>
      <c r="E78" t="str">
        <f>" l_"&amp;B31&amp;":"</f>
        <v xml:space="preserve"> l_:</v>
      </c>
      <c r="G78" s="49" t="str">
        <f>"    - number: "&amp;$B$4&amp;"-0-"&amp;I78</f>
        <v xml:space="preserve">    - number: 6-0-29</v>
      </c>
      <c r="H78" s="49" t="str">
        <f>"    - number: "&amp;$B$4&amp;"-0-"&amp;I78</f>
        <v xml:space="preserve">    - number: 6-0-29</v>
      </c>
      <c r="I78" s="56">
        <f>I68+4</f>
        <v>29</v>
      </c>
    </row>
    <row r="79" spans="1:9" x14ac:dyDescent="0.3">
      <c r="A79" s="54">
        <v>74</v>
      </c>
      <c r="D79" t="str">
        <f>"  type:"&amp;D$1</f>
        <v xml:space="preserve">  type:rgb</v>
      </c>
      <c r="E79" t="str">
        <f>"  type:"&amp;D$1</f>
        <v xml:space="preserve">  type:rgb</v>
      </c>
      <c r="G79" s="49" t="s">
        <v>209</v>
      </c>
      <c r="H79" s="49" t="s">
        <v>209</v>
      </c>
    </row>
    <row r="80" spans="1:9" x14ac:dyDescent="0.3">
      <c r="A80" s="54">
        <v>75</v>
      </c>
      <c r="D80" t="str">
        <f>"  number: "&amp;B$4&amp;"-0-"&amp;A31</f>
        <v xml:space="preserve">  number: 6-0-26</v>
      </c>
      <c r="E80" t="str">
        <f>"  number: "&amp;B$4&amp;"-0-"&amp;A31</f>
        <v xml:space="preserve">  number: 6-0-26</v>
      </c>
      <c r="G80" s="49" t="str">
        <f>"    - number: "&amp;$B$4&amp;"-0-"&amp;I80</f>
        <v xml:space="preserve">    - number: 6-0-30</v>
      </c>
      <c r="H80" s="49" t="str">
        <f>"    - number: "&amp;$B$4&amp;"-0-"&amp;I80</f>
        <v xml:space="preserve">    - number: 6-0-30</v>
      </c>
      <c r="I80" s="56">
        <f>I70+4</f>
        <v>30</v>
      </c>
    </row>
    <row r="81" spans="1:9" x14ac:dyDescent="0.3">
      <c r="A81" s="54">
        <v>76</v>
      </c>
      <c r="D81" t="str">
        <f>" l_"&amp;B32&amp;":"</f>
        <v xml:space="preserve"> l_:</v>
      </c>
      <c r="E81" t="str">
        <f>" l_"&amp;B32&amp;":"</f>
        <v xml:space="preserve"> l_:</v>
      </c>
      <c r="G81" s="49" t="s">
        <v>210</v>
      </c>
      <c r="H81" s="49" t="s">
        <v>210</v>
      </c>
    </row>
    <row r="82" spans="1:9" x14ac:dyDescent="0.3">
      <c r="A82" s="54">
        <v>77</v>
      </c>
      <c r="D82" t="str">
        <f>"  type:"&amp;D$1</f>
        <v xml:space="preserve">  type:rgb</v>
      </c>
      <c r="E82" t="str">
        <f>"  type:"&amp;D$1</f>
        <v xml:space="preserve">  type:rgb</v>
      </c>
      <c r="G82" s="49" t="str">
        <f>"    - number: "&amp;$B$4&amp;"-0-"&amp;I82</f>
        <v xml:space="preserve">    - number: 6-0-31</v>
      </c>
      <c r="H82" s="49" t="str">
        <f>"    - number: "&amp;$B$4&amp;"-0-"&amp;I82</f>
        <v xml:space="preserve">    - number: 6-0-31</v>
      </c>
      <c r="I82" s="56">
        <f>I72+4</f>
        <v>31</v>
      </c>
    </row>
    <row r="83" spans="1:9" x14ac:dyDescent="0.3">
      <c r="A83" s="54">
        <v>78</v>
      </c>
      <c r="D83" t="str">
        <f>"  number: "&amp;B$4&amp;"-0-"&amp;A32</f>
        <v xml:space="preserve">  number: 6-0-27</v>
      </c>
      <c r="E83" t="str">
        <f>"  number: "&amp;B$4&amp;"-0-"&amp;A32</f>
        <v xml:space="preserve">  number: 6-0-27</v>
      </c>
      <c r="G83" t="str">
        <f ca="1">" l_"&amp;OFFSET(B$6,(A86-1)/10,0)&amp;":"</f>
        <v xml:space="preserve"> l_Bonus_2000:</v>
      </c>
      <c r="H83" t="str">
        <f ca="1">" l_"&amp;OFFSET(B$6,(A86-1)/10,0)&amp;":"</f>
        <v xml:space="preserve"> l_Bonus_2000:</v>
      </c>
    </row>
    <row r="84" spans="1:9" x14ac:dyDescent="0.3">
      <c r="A84" s="54">
        <v>79</v>
      </c>
      <c r="D84" t="str">
        <f>" l_"&amp;B33&amp;":"</f>
        <v xml:space="preserve"> l_:</v>
      </c>
      <c r="E84" t="str">
        <f>" l_"&amp;B33&amp;":"</f>
        <v xml:space="preserve"> l_:</v>
      </c>
      <c r="G84" s="49" t="s">
        <v>195</v>
      </c>
      <c r="H84" s="49" t="s">
        <v>195</v>
      </c>
    </row>
    <row r="85" spans="1:9" x14ac:dyDescent="0.3">
      <c r="A85" s="54">
        <v>80</v>
      </c>
      <c r="D85" t="str">
        <f>"  type:"&amp;D$1</f>
        <v xml:space="preserve">  type:rgb</v>
      </c>
      <c r="E85" t="str">
        <f>"  type:"&amp;D$1</f>
        <v xml:space="preserve">  type:rgb</v>
      </c>
      <c r="G85" s="49" t="s">
        <v>198</v>
      </c>
      <c r="H85" s="49" t="s">
        <v>199</v>
      </c>
    </row>
    <row r="86" spans="1:9" x14ac:dyDescent="0.3">
      <c r="A86" s="54">
        <v>81</v>
      </c>
      <c r="D86" t="str">
        <f>"  number: "&amp;B$4&amp;"-0-"&amp;A33</f>
        <v xml:space="preserve">  number: 6-0-28</v>
      </c>
      <c r="E86" t="str">
        <f>"  number: "&amp;B$4&amp;"-0-"&amp;A33</f>
        <v xml:space="preserve">  number: 6-0-28</v>
      </c>
      <c r="G86" s="49" t="str">
        <f>"    - number: "&amp;$B$4&amp;"-0-"&amp;I86</f>
        <v xml:space="preserve">    - number: 6-0-32</v>
      </c>
      <c r="H86" s="49" t="str">
        <f>"    - number: "&amp;$B$4&amp;"-0-"&amp;I86</f>
        <v xml:space="preserve">    - number: 6-0-32</v>
      </c>
      <c r="I86" s="56">
        <f>I76+4</f>
        <v>32</v>
      </c>
    </row>
    <row r="87" spans="1:9" x14ac:dyDescent="0.3">
      <c r="A87" s="54">
        <v>82</v>
      </c>
      <c r="D87" t="str">
        <f>" l_"&amp;B34&amp;":"</f>
        <v xml:space="preserve"> l_:</v>
      </c>
      <c r="E87" t="str">
        <f>" l_"&amp;B34&amp;":"</f>
        <v xml:space="preserve"> l_:</v>
      </c>
      <c r="G87" s="49" t="s">
        <v>199</v>
      </c>
      <c r="H87" s="49" t="s">
        <v>198</v>
      </c>
    </row>
    <row r="88" spans="1:9" x14ac:dyDescent="0.3">
      <c r="A88" s="54">
        <v>83</v>
      </c>
      <c r="D88" t="str">
        <f>"  type:"&amp;D$1</f>
        <v xml:space="preserve">  type:rgb</v>
      </c>
      <c r="E88" t="str">
        <f>"  type:"&amp;D$1</f>
        <v xml:space="preserve">  type:rgb</v>
      </c>
      <c r="G88" s="49" t="str">
        <f>"    - number: "&amp;$B$4&amp;"-0-"&amp;I88</f>
        <v xml:space="preserve">    - number: 6-0-33</v>
      </c>
      <c r="H88" s="49" t="str">
        <f>"    - number: "&amp;$B$4&amp;"-0-"&amp;I88</f>
        <v xml:space="preserve">    - number: 6-0-33</v>
      </c>
      <c r="I88" s="56">
        <f>I78+4</f>
        <v>33</v>
      </c>
    </row>
    <row r="89" spans="1:9" x14ac:dyDescent="0.3">
      <c r="A89" s="54">
        <v>84</v>
      </c>
      <c r="D89" t="str">
        <f>"  number: "&amp;B$4&amp;"-0-"&amp;A34</f>
        <v xml:space="preserve">  number: 6-0-29</v>
      </c>
      <c r="E89" t="str">
        <f>"  number: "&amp;B$4&amp;"-0-"&amp;A34</f>
        <v xml:space="preserve">  number: 6-0-29</v>
      </c>
      <c r="G89" s="49" t="s">
        <v>209</v>
      </c>
      <c r="H89" s="49" t="s">
        <v>209</v>
      </c>
    </row>
    <row r="90" spans="1:9" x14ac:dyDescent="0.3">
      <c r="A90" s="54">
        <v>85</v>
      </c>
      <c r="D90" t="str">
        <f>" l_"&amp;B35&amp;":"</f>
        <v xml:space="preserve"> l_:</v>
      </c>
      <c r="E90" t="str">
        <f>" l_"&amp;B35&amp;":"</f>
        <v xml:space="preserve"> l_:</v>
      </c>
      <c r="G90" s="49" t="str">
        <f>"    - number: "&amp;$B$4&amp;"-0-"&amp;I90</f>
        <v xml:space="preserve">    - number: 6-0-34</v>
      </c>
      <c r="H90" s="49" t="str">
        <f>"    - number: "&amp;$B$4&amp;"-0-"&amp;I90</f>
        <v xml:space="preserve">    - number: 6-0-34</v>
      </c>
      <c r="I90" s="56">
        <f>I80+4</f>
        <v>34</v>
      </c>
    </row>
    <row r="91" spans="1:9" x14ac:dyDescent="0.3">
      <c r="A91" s="54">
        <v>86</v>
      </c>
      <c r="D91" t="str">
        <f>"  type:"&amp;D$1</f>
        <v xml:space="preserve">  type:rgb</v>
      </c>
      <c r="E91" t="str">
        <f>"  type:"&amp;D$1</f>
        <v xml:space="preserve">  type:rgb</v>
      </c>
      <c r="G91" s="49" t="s">
        <v>210</v>
      </c>
      <c r="H91" s="49" t="s">
        <v>210</v>
      </c>
    </row>
    <row r="92" spans="1:9" x14ac:dyDescent="0.3">
      <c r="A92" s="54">
        <v>87</v>
      </c>
      <c r="D92" t="str">
        <f>"  number: "&amp;B$4&amp;"-0-"&amp;A35</f>
        <v xml:space="preserve">  number: 6-0-30</v>
      </c>
      <c r="E92" t="str">
        <f>"  number: "&amp;B$4&amp;"-0-"&amp;A35</f>
        <v xml:space="preserve">  number: 6-0-30</v>
      </c>
      <c r="G92" s="49" t="str">
        <f>"    - number: "&amp;$B$4&amp;"-0-"&amp;I92</f>
        <v xml:space="preserve">    - number: 6-0-35</v>
      </c>
      <c r="H92" s="49" t="str">
        <f>"    - number: "&amp;$B$4&amp;"-0-"&amp;I92</f>
        <v xml:space="preserve">    - number: 6-0-35</v>
      </c>
      <c r="I92" s="56">
        <f>I82+4</f>
        <v>35</v>
      </c>
    </row>
    <row r="93" spans="1:9" x14ac:dyDescent="0.3">
      <c r="A93" s="54">
        <v>88</v>
      </c>
      <c r="D93" t="str">
        <f>" l_"&amp;B36&amp;":"</f>
        <v xml:space="preserve"> l_:</v>
      </c>
      <c r="E93" t="str">
        <f>" l_"&amp;B36&amp;":"</f>
        <v xml:space="preserve"> l_:</v>
      </c>
      <c r="G93" t="str">
        <f ca="1">" l_"&amp;OFFSET(B$6,(A96-1)/10,0)&amp;":"</f>
        <v xml:space="preserve"> l_Bonus_1000:</v>
      </c>
      <c r="H93" t="str">
        <f ca="1">" l_"&amp;OFFSET(B$6,(A96-1)/10,0)&amp;":"</f>
        <v xml:space="preserve"> l_Bonus_1000:</v>
      </c>
    </row>
    <row r="94" spans="1:9" x14ac:dyDescent="0.3">
      <c r="A94" s="54">
        <v>89</v>
      </c>
      <c r="D94" t="str">
        <f>"  type:"&amp;D$1</f>
        <v xml:space="preserve">  type:rgb</v>
      </c>
      <c r="E94" t="str">
        <f>"  type:"&amp;D$1</f>
        <v xml:space="preserve">  type:rgb</v>
      </c>
      <c r="G94" s="49" t="s">
        <v>195</v>
      </c>
      <c r="H94" s="49" t="s">
        <v>195</v>
      </c>
    </row>
    <row r="95" spans="1:9" x14ac:dyDescent="0.3">
      <c r="A95" s="54">
        <v>90</v>
      </c>
      <c r="D95" t="str">
        <f>"  number: "&amp;B$4&amp;"-0-"&amp;A36</f>
        <v xml:space="preserve">  number: 6-0-31</v>
      </c>
      <c r="E95" t="str">
        <f>"  number: "&amp;B$4&amp;"-0-"&amp;A36</f>
        <v xml:space="preserve">  number: 6-0-31</v>
      </c>
      <c r="G95" s="49" t="s">
        <v>198</v>
      </c>
      <c r="H95" s="49" t="s">
        <v>199</v>
      </c>
    </row>
    <row r="96" spans="1:9" x14ac:dyDescent="0.3">
      <c r="A96" s="54">
        <v>91</v>
      </c>
      <c r="D96" t="str">
        <f>" l_"&amp;B37&amp;":"</f>
        <v xml:space="preserve"> l_:</v>
      </c>
      <c r="E96" t="str">
        <f>" l_"&amp;B37&amp;":"</f>
        <v xml:space="preserve"> l_:</v>
      </c>
      <c r="G96" s="49" t="str">
        <f>"    - number: "&amp;$B$4&amp;"-0-"&amp;I96</f>
        <v xml:space="preserve">    - number: 6-0-36</v>
      </c>
      <c r="H96" s="49" t="str">
        <f>"    - number: "&amp;$B$4&amp;"-0-"&amp;I96</f>
        <v xml:space="preserve">    - number: 6-0-36</v>
      </c>
      <c r="I96" s="56">
        <f>I86+4</f>
        <v>36</v>
      </c>
    </row>
    <row r="97" spans="1:9" x14ac:dyDescent="0.3">
      <c r="A97" s="54">
        <v>92</v>
      </c>
      <c r="D97" t="str">
        <f>"  type:"&amp;D$1</f>
        <v xml:space="preserve">  type:rgb</v>
      </c>
      <c r="E97" t="str">
        <f>"  type:"&amp;D$1</f>
        <v xml:space="preserve">  type:rgb</v>
      </c>
      <c r="G97" s="49" t="s">
        <v>199</v>
      </c>
      <c r="H97" s="49" t="s">
        <v>198</v>
      </c>
    </row>
    <row r="98" spans="1:9" x14ac:dyDescent="0.3">
      <c r="A98" s="54">
        <v>93</v>
      </c>
      <c r="D98" t="str">
        <f>"  number: "&amp;B$4&amp;"-0-"&amp;A37</f>
        <v xml:space="preserve">  number: 6-0-32</v>
      </c>
      <c r="E98" t="str">
        <f>"  number: "&amp;B$4&amp;"-0-"&amp;A37</f>
        <v xml:space="preserve">  number: 6-0-32</v>
      </c>
      <c r="G98" s="49" t="str">
        <f>"    - number: "&amp;$B$4&amp;"-0-"&amp;I98</f>
        <v xml:space="preserve">    - number: 6-0-37</v>
      </c>
      <c r="H98" s="49" t="str">
        <f>"    - number: "&amp;$B$4&amp;"-0-"&amp;I98</f>
        <v xml:space="preserve">    - number: 6-0-37</v>
      </c>
      <c r="I98" s="56">
        <f>I88+4</f>
        <v>37</v>
      </c>
    </row>
    <row r="99" spans="1:9" x14ac:dyDescent="0.3">
      <c r="A99" s="54">
        <v>94</v>
      </c>
      <c r="D99" t="str">
        <f>" l_"&amp;B38&amp;":"</f>
        <v xml:space="preserve"> l_:</v>
      </c>
      <c r="E99" t="str">
        <f>" l_"&amp;B38&amp;":"</f>
        <v xml:space="preserve"> l_:</v>
      </c>
      <c r="G99" s="49" t="s">
        <v>209</v>
      </c>
      <c r="H99" s="49" t="s">
        <v>209</v>
      </c>
    </row>
    <row r="100" spans="1:9" x14ac:dyDescent="0.3">
      <c r="A100" s="54">
        <v>95</v>
      </c>
      <c r="D100" t="str">
        <f>"  type:"&amp;D$1</f>
        <v xml:space="preserve">  type:rgb</v>
      </c>
      <c r="E100" t="str">
        <f>"  type:"&amp;D$1</f>
        <v xml:space="preserve">  type:rgb</v>
      </c>
      <c r="G100" s="49" t="str">
        <f>"    - number: "&amp;$B$4&amp;"-0-"&amp;I100</f>
        <v xml:space="preserve">    - number: 6-0-38</v>
      </c>
      <c r="H100" s="49" t="str">
        <f>"    - number: "&amp;$B$4&amp;"-0-"&amp;I100</f>
        <v xml:space="preserve">    - number: 6-0-38</v>
      </c>
      <c r="I100" s="56">
        <f>I90+4</f>
        <v>38</v>
      </c>
    </row>
    <row r="101" spans="1:9" x14ac:dyDescent="0.3">
      <c r="A101" s="54">
        <v>96</v>
      </c>
      <c r="D101" t="str">
        <f>"  number: "&amp;B$4&amp;"-0-"&amp;A38</f>
        <v xml:space="preserve">  number: 6-0-33</v>
      </c>
      <c r="E101" t="str">
        <f>"  number: "&amp;B$4&amp;"-0-"&amp;A38</f>
        <v xml:space="preserve">  number: 6-0-33</v>
      </c>
      <c r="G101" s="49" t="s">
        <v>210</v>
      </c>
      <c r="H101" s="49" t="s">
        <v>210</v>
      </c>
    </row>
    <row r="102" spans="1:9" x14ac:dyDescent="0.3">
      <c r="A102" s="54">
        <v>97</v>
      </c>
      <c r="D102" t="str">
        <f>" l_"&amp;B39&amp;":"</f>
        <v xml:space="preserve"> l_:</v>
      </c>
      <c r="E102" t="str">
        <f>" l_"&amp;B39&amp;":"</f>
        <v xml:space="preserve"> l_:</v>
      </c>
      <c r="G102" s="49" t="str">
        <f>"    - number: "&amp;$B$4&amp;"-0-"&amp;I102</f>
        <v xml:space="preserve">    - number: 6-0-39</v>
      </c>
      <c r="H102" s="49" t="str">
        <f>"    - number: "&amp;$B$4&amp;"-0-"&amp;I102</f>
        <v xml:space="preserve">    - number: 6-0-39</v>
      </c>
      <c r="I102" s="56">
        <f>I92+4</f>
        <v>39</v>
      </c>
    </row>
    <row r="103" spans="1:9" x14ac:dyDescent="0.3">
      <c r="A103" s="54">
        <v>98</v>
      </c>
      <c r="D103" t="str">
        <f>"  type:"&amp;D$1</f>
        <v xml:space="preserve">  type:rgb</v>
      </c>
      <c r="E103" t="str">
        <f>"  type:"&amp;D$1</f>
        <v xml:space="preserve">  type:rgb</v>
      </c>
      <c r="G103" t="str">
        <f ca="1">" l_"&amp;OFFSET(B$6,(A106-1)/10,0)&amp;":"</f>
        <v xml:space="preserve"> l_:</v>
      </c>
      <c r="H103" t="str">
        <f ca="1">" l_"&amp;OFFSET(B$6,(A106-1)/10,0)&amp;":"</f>
        <v xml:space="preserve"> l_:</v>
      </c>
    </row>
    <row r="104" spans="1:9" x14ac:dyDescent="0.3">
      <c r="A104" s="54">
        <v>99</v>
      </c>
      <c r="D104" t="str">
        <f>"  number: "&amp;B$4&amp;"-0-"&amp;A39</f>
        <v xml:space="preserve">  number: 6-0-34</v>
      </c>
      <c r="E104" t="str">
        <f>"  number: "&amp;B$4&amp;"-0-"&amp;A39</f>
        <v xml:space="preserve">  number: 6-0-34</v>
      </c>
      <c r="G104" s="49" t="s">
        <v>195</v>
      </c>
      <c r="H104" s="49" t="s">
        <v>195</v>
      </c>
    </row>
    <row r="105" spans="1:9" x14ac:dyDescent="0.3">
      <c r="A105" s="54">
        <v>100</v>
      </c>
      <c r="D105" t="str">
        <f>" l_"&amp;B40&amp;":"</f>
        <v xml:space="preserve"> l_:</v>
      </c>
      <c r="E105" t="str">
        <f>" l_"&amp;B40&amp;":"</f>
        <v xml:space="preserve"> l_:</v>
      </c>
      <c r="G105" s="49" t="s">
        <v>198</v>
      </c>
      <c r="H105" s="49" t="s">
        <v>199</v>
      </c>
    </row>
    <row r="106" spans="1:9" x14ac:dyDescent="0.3">
      <c r="A106" s="54">
        <v>101</v>
      </c>
      <c r="D106" t="str">
        <f>"  type:"&amp;D$1</f>
        <v xml:space="preserve">  type:rgb</v>
      </c>
      <c r="E106" t="str">
        <f>"  type:"&amp;D$1</f>
        <v xml:space="preserve">  type:rgb</v>
      </c>
      <c r="G106" s="49" t="str">
        <f>"    - number: "&amp;$B$4&amp;"-0-"&amp;I106</f>
        <v xml:space="preserve">    - number: 6-0-40</v>
      </c>
      <c r="H106" s="49" t="str">
        <f>"    - number: "&amp;$B$4&amp;"-0-"&amp;I106</f>
        <v xml:space="preserve">    - number: 6-0-40</v>
      </c>
      <c r="I106" s="56">
        <f>I96+4</f>
        <v>40</v>
      </c>
    </row>
    <row r="107" spans="1:9" x14ac:dyDescent="0.3">
      <c r="A107" s="54">
        <v>102</v>
      </c>
      <c r="D107" t="str">
        <f>"  number: "&amp;B$4&amp;"-0-"&amp;A40</f>
        <v xml:space="preserve">  number: 6-0-35</v>
      </c>
      <c r="E107" t="str">
        <f>"  number: "&amp;B$4&amp;"-0-"&amp;A40</f>
        <v xml:space="preserve">  number: 6-0-35</v>
      </c>
      <c r="G107" s="49" t="s">
        <v>199</v>
      </c>
      <c r="H107" s="49" t="s">
        <v>198</v>
      </c>
    </row>
    <row r="108" spans="1:9" x14ac:dyDescent="0.3">
      <c r="A108" s="54">
        <v>103</v>
      </c>
      <c r="D108" t="str">
        <f>" l_"&amp;B41&amp;":"</f>
        <v xml:space="preserve"> l_:</v>
      </c>
      <c r="E108" t="str">
        <f>" l_"&amp;B41&amp;":"</f>
        <v xml:space="preserve"> l_:</v>
      </c>
      <c r="G108" s="49" t="str">
        <f>"    - number: "&amp;$B$4&amp;"-0-"&amp;I108</f>
        <v xml:space="preserve">    - number: 6-0-41</v>
      </c>
      <c r="H108" s="49" t="str">
        <f>"    - number: "&amp;$B$4&amp;"-0-"&amp;I108</f>
        <v xml:space="preserve">    - number: 6-0-41</v>
      </c>
      <c r="I108" s="56">
        <f>I98+4</f>
        <v>41</v>
      </c>
    </row>
    <row r="109" spans="1:9" x14ac:dyDescent="0.3">
      <c r="A109" s="54">
        <v>104</v>
      </c>
      <c r="D109" t="str">
        <f>"  type:"&amp;D$1</f>
        <v xml:space="preserve">  type:rgb</v>
      </c>
      <c r="E109" t="str">
        <f>"  type:"&amp;D$1</f>
        <v xml:space="preserve">  type:rgb</v>
      </c>
      <c r="G109" s="49" t="s">
        <v>209</v>
      </c>
      <c r="H109" s="49" t="s">
        <v>209</v>
      </c>
    </row>
    <row r="110" spans="1:9" x14ac:dyDescent="0.3">
      <c r="A110" s="54">
        <v>105</v>
      </c>
      <c r="D110" t="str">
        <f>"  number: "&amp;B$4&amp;"-0-"&amp;A41</f>
        <v xml:space="preserve">  number: 6-0-36</v>
      </c>
      <c r="E110" t="str">
        <f>"  number: "&amp;B$4&amp;"-0-"&amp;A41</f>
        <v xml:space="preserve">  number: 6-0-36</v>
      </c>
      <c r="G110" s="49" t="str">
        <f>"    - number: "&amp;$B$4&amp;"-0-"&amp;I110</f>
        <v xml:space="preserve">    - number: 6-0-42</v>
      </c>
      <c r="H110" s="49" t="str">
        <f>"    - number: "&amp;$B$4&amp;"-0-"&amp;I110</f>
        <v xml:space="preserve">    - number: 6-0-42</v>
      </c>
      <c r="I110" s="56">
        <f>I100+4</f>
        <v>42</v>
      </c>
    </row>
    <row r="111" spans="1:9" x14ac:dyDescent="0.3">
      <c r="A111" s="54">
        <v>106</v>
      </c>
      <c r="D111" t="str">
        <f>" l_"&amp;B42&amp;":"</f>
        <v xml:space="preserve"> l_:</v>
      </c>
      <c r="E111" t="str">
        <f>" l_"&amp;B42&amp;":"</f>
        <v xml:space="preserve"> l_:</v>
      </c>
      <c r="G111" s="49" t="s">
        <v>210</v>
      </c>
      <c r="H111" s="49" t="s">
        <v>210</v>
      </c>
    </row>
    <row r="112" spans="1:9" x14ac:dyDescent="0.3">
      <c r="A112" s="54">
        <v>107</v>
      </c>
      <c r="D112" t="str">
        <f>"  type:"&amp;D$1</f>
        <v xml:space="preserve">  type:rgb</v>
      </c>
      <c r="E112" t="str">
        <f>"  type:"&amp;D$1</f>
        <v xml:space="preserve">  type:rgb</v>
      </c>
      <c r="G112" s="49" t="str">
        <f>"    - number: "&amp;$B$4&amp;"-0-"&amp;I112</f>
        <v xml:space="preserve">    - number: 6-0-43</v>
      </c>
      <c r="H112" s="49" t="str">
        <f>"    - number: "&amp;$B$4&amp;"-0-"&amp;I112</f>
        <v xml:space="preserve">    - number: 6-0-43</v>
      </c>
      <c r="I112" s="56">
        <f>I102+4</f>
        <v>43</v>
      </c>
    </row>
    <row r="113" spans="1:9" x14ac:dyDescent="0.3">
      <c r="A113" s="54">
        <v>108</v>
      </c>
      <c r="D113" t="str">
        <f>"  number: "&amp;B$4&amp;"-0-"&amp;A42</f>
        <v xml:space="preserve">  number: 6-0-37</v>
      </c>
      <c r="E113" t="str">
        <f>"  number: "&amp;B$4&amp;"-0-"&amp;A42</f>
        <v xml:space="preserve">  number: 6-0-37</v>
      </c>
      <c r="G113" t="str">
        <f ca="1">" l_"&amp;OFFSET(B$6,(A116-1)/10,0)&amp;":"</f>
        <v xml:space="preserve"> l_:</v>
      </c>
      <c r="H113" t="str">
        <f ca="1">" l_"&amp;OFFSET(B$6,(A116-1)/10,0)&amp;":"</f>
        <v xml:space="preserve"> l_:</v>
      </c>
    </row>
    <row r="114" spans="1:9" x14ac:dyDescent="0.3">
      <c r="A114" s="54">
        <v>109</v>
      </c>
      <c r="D114" t="str">
        <f>" l_"&amp;B43&amp;":"</f>
        <v xml:space="preserve"> l_:</v>
      </c>
      <c r="E114" t="str">
        <f>" l_"&amp;B43&amp;":"</f>
        <v xml:space="preserve"> l_:</v>
      </c>
      <c r="G114" s="49" t="s">
        <v>195</v>
      </c>
      <c r="H114" s="49" t="s">
        <v>195</v>
      </c>
    </row>
    <row r="115" spans="1:9" x14ac:dyDescent="0.3">
      <c r="A115" s="54">
        <v>110</v>
      </c>
      <c r="D115" t="str">
        <f>"  type:"&amp;D$1</f>
        <v xml:space="preserve">  type:rgb</v>
      </c>
      <c r="E115" t="str">
        <f>"  type:"&amp;D$1</f>
        <v xml:space="preserve">  type:rgb</v>
      </c>
      <c r="G115" s="49" t="s">
        <v>198</v>
      </c>
      <c r="H115" s="49" t="s">
        <v>199</v>
      </c>
    </row>
    <row r="116" spans="1:9" x14ac:dyDescent="0.3">
      <c r="A116" s="54">
        <v>111</v>
      </c>
      <c r="D116" t="str">
        <f>"  number: "&amp;B$4&amp;"-0-"&amp;A43</f>
        <v xml:space="preserve">  number: 6-0-38</v>
      </c>
      <c r="E116" t="str">
        <f>"  number: "&amp;B$4&amp;"-0-"&amp;A43</f>
        <v xml:space="preserve">  number: 6-0-38</v>
      </c>
      <c r="G116" s="49" t="str">
        <f>"    - number: "&amp;$B$4&amp;"-0-"&amp;I116</f>
        <v xml:space="preserve">    - number: 6-0-44</v>
      </c>
      <c r="H116" s="49" t="str">
        <f>"    - number: "&amp;$B$4&amp;"-0-"&amp;I116</f>
        <v xml:space="preserve">    - number: 6-0-44</v>
      </c>
      <c r="I116" s="56">
        <f>I106+4</f>
        <v>44</v>
      </c>
    </row>
    <row r="117" spans="1:9" x14ac:dyDescent="0.3">
      <c r="A117" s="54">
        <v>112</v>
      </c>
      <c r="D117" t="str">
        <f>" l_"&amp;B44&amp;":"</f>
        <v xml:space="preserve"> l_:</v>
      </c>
      <c r="E117" t="str">
        <f>" l_"&amp;B44&amp;":"</f>
        <v xml:space="preserve"> l_:</v>
      </c>
      <c r="G117" s="49" t="s">
        <v>199</v>
      </c>
      <c r="H117" s="49" t="s">
        <v>198</v>
      </c>
    </row>
    <row r="118" spans="1:9" x14ac:dyDescent="0.3">
      <c r="A118" s="54">
        <v>113</v>
      </c>
      <c r="D118" t="str">
        <f>"  type:"&amp;D$1</f>
        <v xml:space="preserve">  type:rgb</v>
      </c>
      <c r="E118" t="str">
        <f>"  type:"&amp;D$1</f>
        <v xml:space="preserve">  type:rgb</v>
      </c>
      <c r="G118" s="49" t="str">
        <f>"    - number: "&amp;$B$4&amp;"-0-"&amp;I118</f>
        <v xml:space="preserve">    - number: 6-0-45</v>
      </c>
      <c r="H118" s="49" t="str">
        <f>"    - number: "&amp;$B$4&amp;"-0-"&amp;I118</f>
        <v xml:space="preserve">    - number: 6-0-45</v>
      </c>
      <c r="I118" s="56">
        <f>I108+4</f>
        <v>45</v>
      </c>
    </row>
    <row r="119" spans="1:9" x14ac:dyDescent="0.3">
      <c r="A119" s="54">
        <v>114</v>
      </c>
      <c r="D119" t="str">
        <f>"  number: "&amp;B$4&amp;"-0-"&amp;A44</f>
        <v xml:space="preserve">  number: 6-0-39</v>
      </c>
      <c r="E119" t="str">
        <f>"  number: "&amp;B$4&amp;"-0-"&amp;A44</f>
        <v xml:space="preserve">  number: 6-0-39</v>
      </c>
      <c r="G119" s="49" t="s">
        <v>209</v>
      </c>
      <c r="H119" s="49" t="s">
        <v>209</v>
      </c>
    </row>
    <row r="120" spans="1:9" x14ac:dyDescent="0.3">
      <c r="A120" s="54">
        <v>115</v>
      </c>
      <c r="D120" t="str">
        <f>" l_"&amp;B45&amp;":"</f>
        <v xml:space="preserve"> l_:</v>
      </c>
      <c r="E120" t="str">
        <f>" l_"&amp;B45&amp;":"</f>
        <v xml:space="preserve"> l_:</v>
      </c>
      <c r="G120" s="49" t="str">
        <f>"    - number: "&amp;$B$4&amp;"-0-"&amp;I120</f>
        <v xml:space="preserve">    - number: 6-0-46</v>
      </c>
      <c r="H120" s="49" t="str">
        <f>"    - number: "&amp;$B$4&amp;"-0-"&amp;I120</f>
        <v xml:space="preserve">    - number: 6-0-46</v>
      </c>
      <c r="I120" s="56">
        <f>I110+4</f>
        <v>46</v>
      </c>
    </row>
    <row r="121" spans="1:9" x14ac:dyDescent="0.3">
      <c r="A121" s="54">
        <v>116</v>
      </c>
      <c r="D121" t="str">
        <f>"  type:"&amp;D$1</f>
        <v xml:space="preserve">  type:rgb</v>
      </c>
      <c r="E121" t="str">
        <f>"  type:"&amp;D$1</f>
        <v xml:space="preserve">  type:rgb</v>
      </c>
      <c r="G121" s="49" t="s">
        <v>210</v>
      </c>
      <c r="H121" s="49" t="s">
        <v>210</v>
      </c>
    </row>
    <row r="122" spans="1:9" x14ac:dyDescent="0.3">
      <c r="A122" s="54">
        <v>117</v>
      </c>
      <c r="D122" t="str">
        <f>"  number: "&amp;B$4&amp;"-0-"&amp;A45</f>
        <v xml:space="preserve">  number: 6-0-40</v>
      </c>
      <c r="E122" t="str">
        <f>"  number: "&amp;B$4&amp;"-0-"&amp;A45</f>
        <v xml:space="preserve">  number: 6-0-40</v>
      </c>
      <c r="G122" s="49" t="str">
        <f>"    - number: "&amp;$B$4&amp;"-0-"&amp;I122</f>
        <v xml:space="preserve">    - number: 6-0-47</v>
      </c>
      <c r="H122" s="49" t="str">
        <f>"    - number: "&amp;$B$4&amp;"-0-"&amp;I122</f>
        <v xml:space="preserve">    - number: 6-0-47</v>
      </c>
      <c r="I122" s="56">
        <f>I112+4</f>
        <v>47</v>
      </c>
    </row>
    <row r="123" spans="1:9" x14ac:dyDescent="0.3">
      <c r="A123" s="54">
        <v>118</v>
      </c>
      <c r="D123" t="str">
        <f>" l_"&amp;B46&amp;":"</f>
        <v xml:space="preserve"> l_:</v>
      </c>
      <c r="E123" t="str">
        <f>" l_"&amp;B46&amp;":"</f>
        <v xml:space="preserve"> l_:</v>
      </c>
      <c r="G123" t="str">
        <f ca="1">" l_"&amp;OFFSET(B$6,(A126-1)/10,0)&amp;":"</f>
        <v xml:space="preserve"> l_:</v>
      </c>
      <c r="H123" t="str">
        <f ca="1">" l_"&amp;OFFSET(B$6,(A126-1)/10,0)&amp;":"</f>
        <v xml:space="preserve"> l_:</v>
      </c>
    </row>
    <row r="124" spans="1:9" x14ac:dyDescent="0.3">
      <c r="A124" s="54">
        <v>119</v>
      </c>
      <c r="D124" t="str">
        <f>"  type:"&amp;D$1</f>
        <v xml:space="preserve">  type:rgb</v>
      </c>
      <c r="E124" t="str">
        <f>"  type:"&amp;D$1</f>
        <v xml:space="preserve">  type:rgb</v>
      </c>
      <c r="G124" s="49" t="s">
        <v>195</v>
      </c>
      <c r="H124" s="49" t="s">
        <v>195</v>
      </c>
    </row>
    <row r="125" spans="1:9" x14ac:dyDescent="0.3">
      <c r="A125" s="54">
        <v>120</v>
      </c>
      <c r="D125" t="str">
        <f>"  number: "&amp;B$4&amp;"-0-"&amp;A46</f>
        <v xml:space="preserve">  number: 6-0-41</v>
      </c>
      <c r="E125" t="str">
        <f>"  number: "&amp;B$4&amp;"-0-"&amp;A46</f>
        <v xml:space="preserve">  number: 6-0-41</v>
      </c>
      <c r="G125" s="49" t="s">
        <v>198</v>
      </c>
      <c r="H125" s="49" t="s">
        <v>199</v>
      </c>
    </row>
    <row r="126" spans="1:9" x14ac:dyDescent="0.3">
      <c r="A126" s="54">
        <v>121</v>
      </c>
      <c r="D126" t="str">
        <f>" l_"&amp;B47&amp;":"</f>
        <v xml:space="preserve"> l_:</v>
      </c>
      <c r="E126" t="str">
        <f>" l_"&amp;B47&amp;":"</f>
        <v xml:space="preserve"> l_:</v>
      </c>
      <c r="G126" s="49" t="str">
        <f>"    - number: "&amp;$B$4&amp;"-0-"&amp;I126</f>
        <v xml:space="preserve">    - number: 6-0-48</v>
      </c>
      <c r="H126" s="49" t="str">
        <f>"    - number: "&amp;$B$4&amp;"-0-"&amp;I126</f>
        <v xml:space="preserve">    - number: 6-0-48</v>
      </c>
      <c r="I126" s="56">
        <f>I116+4</f>
        <v>48</v>
      </c>
    </row>
    <row r="127" spans="1:9" x14ac:dyDescent="0.3">
      <c r="A127" s="54">
        <v>122</v>
      </c>
      <c r="D127" t="str">
        <f>"  type:"&amp;D$1</f>
        <v xml:space="preserve">  type:rgb</v>
      </c>
      <c r="E127" t="str">
        <f>"  type:"&amp;D$1</f>
        <v xml:space="preserve">  type:rgb</v>
      </c>
      <c r="G127" s="49" t="s">
        <v>199</v>
      </c>
      <c r="H127" s="49" t="s">
        <v>198</v>
      </c>
    </row>
    <row r="128" spans="1:9" x14ac:dyDescent="0.3">
      <c r="A128" s="54">
        <v>123</v>
      </c>
      <c r="D128" t="str">
        <f>"  number: "&amp;B$4&amp;"-0-"&amp;A47</f>
        <v xml:space="preserve">  number: 6-0-42</v>
      </c>
      <c r="E128" t="str">
        <f>"  number: "&amp;B$4&amp;"-0-"&amp;A47</f>
        <v xml:space="preserve">  number: 6-0-42</v>
      </c>
      <c r="G128" s="49" t="str">
        <f>"    - number: "&amp;$B$4&amp;"-0-"&amp;I128</f>
        <v xml:space="preserve">    - number: 6-0-49</v>
      </c>
      <c r="H128" s="49" t="str">
        <f>"    - number: "&amp;$B$4&amp;"-0-"&amp;I128</f>
        <v xml:space="preserve">    - number: 6-0-49</v>
      </c>
      <c r="I128" s="56">
        <f>I118+4</f>
        <v>49</v>
      </c>
    </row>
    <row r="129" spans="1:9" x14ac:dyDescent="0.3">
      <c r="A129" s="54">
        <v>124</v>
      </c>
      <c r="D129" t="str">
        <f>" l_"&amp;B48&amp;":"</f>
        <v xml:space="preserve"> l_:</v>
      </c>
      <c r="E129" t="str">
        <f>" l_"&amp;B48&amp;":"</f>
        <v xml:space="preserve"> l_:</v>
      </c>
      <c r="G129" s="49" t="s">
        <v>209</v>
      </c>
      <c r="H129" s="49" t="s">
        <v>209</v>
      </c>
    </row>
    <row r="130" spans="1:9" x14ac:dyDescent="0.3">
      <c r="A130" s="54">
        <v>125</v>
      </c>
      <c r="D130" t="str">
        <f>"  type:"&amp;D$1</f>
        <v xml:space="preserve">  type:rgb</v>
      </c>
      <c r="E130" t="str">
        <f>"  type:"&amp;D$1</f>
        <v xml:space="preserve">  type:rgb</v>
      </c>
      <c r="G130" s="49" t="str">
        <f>"    - number: "&amp;$B$4&amp;"-0-"&amp;I130</f>
        <v xml:space="preserve">    - number: 6-0-50</v>
      </c>
      <c r="H130" s="49" t="str">
        <f>"    - number: "&amp;$B$4&amp;"-0-"&amp;I130</f>
        <v xml:space="preserve">    - number: 6-0-50</v>
      </c>
      <c r="I130" s="56">
        <f>I120+4</f>
        <v>50</v>
      </c>
    </row>
    <row r="131" spans="1:9" x14ac:dyDescent="0.3">
      <c r="A131" s="54">
        <v>126</v>
      </c>
      <c r="D131" t="str">
        <f>"  number: "&amp;B$4&amp;"-0-"&amp;A48</f>
        <v xml:space="preserve">  number: 6-0-43</v>
      </c>
      <c r="E131" t="str">
        <f>"  number: "&amp;B$4&amp;"-0-"&amp;A48</f>
        <v xml:space="preserve">  number: 6-0-43</v>
      </c>
      <c r="G131" s="49" t="s">
        <v>210</v>
      </c>
      <c r="H131" s="49" t="s">
        <v>210</v>
      </c>
    </row>
    <row r="132" spans="1:9" x14ac:dyDescent="0.3">
      <c r="A132" s="54">
        <v>127</v>
      </c>
      <c r="D132" t="str">
        <f>" l_"&amp;B49&amp;":"</f>
        <v xml:space="preserve"> l_:</v>
      </c>
      <c r="E132" t="str">
        <f>" l_"&amp;B49&amp;":"</f>
        <v xml:space="preserve"> l_:</v>
      </c>
      <c r="G132" s="49" t="str">
        <f>"    - number: "&amp;$B$4&amp;"-0-"&amp;I132</f>
        <v xml:space="preserve">    - number: 6-0-51</v>
      </c>
      <c r="H132" s="49" t="str">
        <f>"    - number: "&amp;$B$4&amp;"-0-"&amp;I132</f>
        <v xml:space="preserve">    - number: 6-0-51</v>
      </c>
      <c r="I132" s="56">
        <f>I122+4</f>
        <v>51</v>
      </c>
    </row>
    <row r="133" spans="1:9" x14ac:dyDescent="0.3">
      <c r="A133" s="54">
        <v>128</v>
      </c>
      <c r="D133" t="str">
        <f>"  type:"&amp;D$1</f>
        <v xml:space="preserve">  type:rgb</v>
      </c>
      <c r="E133" t="str">
        <f>"  type:"&amp;D$1</f>
        <v xml:space="preserve">  type:rgb</v>
      </c>
      <c r="G133" t="str">
        <f ca="1">" l_"&amp;OFFSET(B$6,(A136-1)/10,0)&amp;":"</f>
        <v xml:space="preserve"> l_:</v>
      </c>
      <c r="H133" t="str">
        <f ca="1">" l_"&amp;OFFSET(B$6,(A136-1)/10,0)&amp;":"</f>
        <v xml:space="preserve"> l_:</v>
      </c>
    </row>
    <row r="134" spans="1:9" x14ac:dyDescent="0.3">
      <c r="A134" s="54">
        <v>129</v>
      </c>
      <c r="D134" t="str">
        <f>"  number: "&amp;B$4&amp;"-0-"&amp;A49</f>
        <v xml:space="preserve">  number: 6-0-44</v>
      </c>
      <c r="E134" t="str">
        <f>"  number: "&amp;B$4&amp;"-0-"&amp;A49</f>
        <v xml:space="preserve">  number: 6-0-44</v>
      </c>
      <c r="G134" s="49" t="s">
        <v>195</v>
      </c>
      <c r="H134" s="49" t="s">
        <v>195</v>
      </c>
    </row>
    <row r="135" spans="1:9" x14ac:dyDescent="0.3">
      <c r="A135" s="54">
        <v>130</v>
      </c>
      <c r="D135" t="str">
        <f>" l_"&amp;B50&amp;":"</f>
        <v xml:space="preserve"> l_:</v>
      </c>
      <c r="E135" t="str">
        <f>" l_"&amp;B50&amp;":"</f>
        <v xml:space="preserve"> l_:</v>
      </c>
      <c r="G135" s="49" t="s">
        <v>198</v>
      </c>
      <c r="H135" s="49" t="s">
        <v>199</v>
      </c>
    </row>
    <row r="136" spans="1:9" x14ac:dyDescent="0.3">
      <c r="A136" s="54">
        <v>131</v>
      </c>
      <c r="D136" t="str">
        <f>"  type:"&amp;D$1</f>
        <v xml:space="preserve">  type:rgb</v>
      </c>
      <c r="E136" t="str">
        <f>"  type:"&amp;D$1</f>
        <v xml:space="preserve">  type:rgb</v>
      </c>
      <c r="G136" s="49" t="str">
        <f>"    - number: "&amp;$B$4&amp;"-0-"&amp;I136</f>
        <v xml:space="preserve">    - number: 6-0-52</v>
      </c>
      <c r="H136" s="49" t="str">
        <f>"    - number: "&amp;$B$4&amp;"-0-"&amp;I136</f>
        <v xml:space="preserve">    - number: 6-0-52</v>
      </c>
      <c r="I136" s="56">
        <f>I126+4</f>
        <v>52</v>
      </c>
    </row>
    <row r="137" spans="1:9" x14ac:dyDescent="0.3">
      <c r="A137" s="54">
        <v>132</v>
      </c>
      <c r="D137" t="str">
        <f>"  number: "&amp;B$4&amp;"-0-"&amp;A50</f>
        <v xml:space="preserve">  number: 6-0-45</v>
      </c>
      <c r="E137" t="str">
        <f>"  number: "&amp;B$4&amp;"-0-"&amp;A50</f>
        <v xml:space="preserve">  number: 6-0-45</v>
      </c>
      <c r="G137" s="49" t="s">
        <v>199</v>
      </c>
      <c r="H137" s="49" t="s">
        <v>198</v>
      </c>
    </row>
    <row r="138" spans="1:9" x14ac:dyDescent="0.3">
      <c r="A138" s="54">
        <v>133</v>
      </c>
      <c r="D138" t="str">
        <f>" l_"&amp;B51&amp;":"</f>
        <v xml:space="preserve"> l_:</v>
      </c>
      <c r="E138" t="str">
        <f>" l_"&amp;B51&amp;":"</f>
        <v xml:space="preserve"> l_:</v>
      </c>
      <c r="G138" s="49" t="str">
        <f>"    - number: "&amp;$B$4&amp;"-0-"&amp;I138</f>
        <v xml:space="preserve">    - number: 6-0-53</v>
      </c>
      <c r="H138" s="49" t="str">
        <f>"    - number: "&amp;$B$4&amp;"-0-"&amp;I138</f>
        <v xml:space="preserve">    - number: 6-0-53</v>
      </c>
      <c r="I138" s="56">
        <f>I128+4</f>
        <v>53</v>
      </c>
    </row>
    <row r="139" spans="1:9" x14ac:dyDescent="0.3">
      <c r="A139" s="54">
        <v>134</v>
      </c>
      <c r="D139" t="str">
        <f>"  type:"&amp;D$1</f>
        <v xml:space="preserve">  type:rgb</v>
      </c>
      <c r="E139" t="str">
        <f>"  type:"&amp;D$1</f>
        <v xml:space="preserve">  type:rgb</v>
      </c>
      <c r="G139" s="49" t="s">
        <v>209</v>
      </c>
      <c r="H139" s="49" t="s">
        <v>209</v>
      </c>
    </row>
    <row r="140" spans="1:9" x14ac:dyDescent="0.3">
      <c r="A140" s="54">
        <v>135</v>
      </c>
      <c r="D140" t="str">
        <f>"  number: "&amp;B$4&amp;"-0-"&amp;A51</f>
        <v xml:space="preserve">  number: 6-0-46</v>
      </c>
      <c r="E140" t="str">
        <f>"  number: "&amp;B$4&amp;"-0-"&amp;A51</f>
        <v xml:space="preserve">  number: 6-0-46</v>
      </c>
      <c r="G140" s="49" t="str">
        <f>"    - number: "&amp;$B$4&amp;"-0-"&amp;I140</f>
        <v xml:space="preserve">    - number: 6-0-54</v>
      </c>
      <c r="H140" s="49" t="str">
        <f>"    - number: "&amp;$B$4&amp;"-0-"&amp;I140</f>
        <v xml:space="preserve">    - number: 6-0-54</v>
      </c>
      <c r="I140" s="56">
        <f>I130+4</f>
        <v>54</v>
      </c>
    </row>
    <row r="141" spans="1:9" x14ac:dyDescent="0.3">
      <c r="A141" s="54">
        <v>136</v>
      </c>
      <c r="D141" t="str">
        <f>" l_"&amp;B52&amp;":"</f>
        <v xml:space="preserve"> l_:</v>
      </c>
      <c r="E141" t="str">
        <f>" l_"&amp;B52&amp;":"</f>
        <v xml:space="preserve"> l_:</v>
      </c>
      <c r="G141" s="49" t="s">
        <v>210</v>
      </c>
      <c r="H141" s="49" t="s">
        <v>210</v>
      </c>
    </row>
    <row r="142" spans="1:9" x14ac:dyDescent="0.3">
      <c r="A142" s="54">
        <v>137</v>
      </c>
      <c r="D142" t="str">
        <f>"  type:"&amp;D$1</f>
        <v xml:space="preserve">  type:rgb</v>
      </c>
      <c r="E142" t="str">
        <f>"  type:"&amp;D$1</f>
        <v xml:space="preserve">  type:rgb</v>
      </c>
      <c r="G142" s="49" t="str">
        <f>"    - number: "&amp;$B$4&amp;"-0-"&amp;I142</f>
        <v xml:space="preserve">    - number: 6-0-55</v>
      </c>
      <c r="H142" s="49" t="str">
        <f>"    - number: "&amp;$B$4&amp;"-0-"&amp;I142</f>
        <v xml:space="preserve">    - number: 6-0-55</v>
      </c>
      <c r="I142" s="56">
        <f>I132+4</f>
        <v>55</v>
      </c>
    </row>
    <row r="143" spans="1:9" x14ac:dyDescent="0.3">
      <c r="A143" s="54">
        <v>138</v>
      </c>
      <c r="D143" t="str">
        <f>"  number: "&amp;B$4&amp;"-0-"&amp;A52</f>
        <v xml:space="preserve">  number: 6-0-47</v>
      </c>
      <c r="E143" t="str">
        <f>"  number: "&amp;B$4&amp;"-0-"&amp;A52</f>
        <v xml:space="preserve">  number: 6-0-47</v>
      </c>
      <c r="G143" t="str">
        <f ca="1">" l_"&amp;OFFSET(B$6,(A146-1)/10,0)&amp;":"</f>
        <v xml:space="preserve"> l_:</v>
      </c>
      <c r="H143" t="str">
        <f ca="1">" l_"&amp;OFFSET(B$6,(A146-1)/10,0)&amp;":"</f>
        <v xml:space="preserve"> l_:</v>
      </c>
    </row>
    <row r="144" spans="1:9" x14ac:dyDescent="0.3">
      <c r="A144" s="54">
        <v>139</v>
      </c>
      <c r="D144" t="str">
        <f>" l_"&amp;B53&amp;":"</f>
        <v xml:space="preserve"> l_:</v>
      </c>
      <c r="E144" t="str">
        <f>" l_"&amp;B53&amp;":"</f>
        <v xml:space="preserve"> l_:</v>
      </c>
      <c r="G144" s="49" t="s">
        <v>195</v>
      </c>
      <c r="H144" s="49" t="s">
        <v>195</v>
      </c>
    </row>
    <row r="145" spans="1:9" x14ac:dyDescent="0.3">
      <c r="A145" s="54">
        <v>140</v>
      </c>
      <c r="D145" t="str">
        <f>"  type:"&amp;D$1</f>
        <v xml:space="preserve">  type:rgb</v>
      </c>
      <c r="E145" t="str">
        <f>"  type:"&amp;D$1</f>
        <v xml:space="preserve">  type:rgb</v>
      </c>
      <c r="G145" s="49" t="s">
        <v>198</v>
      </c>
      <c r="H145" s="49" t="s">
        <v>199</v>
      </c>
    </row>
    <row r="146" spans="1:9" x14ac:dyDescent="0.3">
      <c r="A146" s="54">
        <v>141</v>
      </c>
      <c r="D146" t="str">
        <f>"  number: "&amp;B$4&amp;"-0-"&amp;A53</f>
        <v xml:space="preserve">  number: 6-0-48</v>
      </c>
      <c r="E146" t="str">
        <f>"  number: "&amp;B$4&amp;"-0-"&amp;A53</f>
        <v xml:space="preserve">  number: 6-0-48</v>
      </c>
      <c r="G146" s="49" t="str">
        <f>"    - number: "&amp;$B$4&amp;"-0-"&amp;I146</f>
        <v xml:space="preserve">    - number: 6-0-56</v>
      </c>
      <c r="H146" s="49" t="str">
        <f>"    - number: "&amp;$B$4&amp;"-0-"&amp;I146</f>
        <v xml:space="preserve">    - number: 6-0-56</v>
      </c>
      <c r="I146" s="56">
        <f>I136+4</f>
        <v>56</v>
      </c>
    </row>
    <row r="147" spans="1:9" x14ac:dyDescent="0.3">
      <c r="A147" s="54">
        <v>142</v>
      </c>
      <c r="D147" t="str">
        <f>" l_"&amp;B54&amp;":"</f>
        <v xml:space="preserve"> l_:</v>
      </c>
      <c r="E147" t="str">
        <f>" l_"&amp;B54&amp;":"</f>
        <v xml:space="preserve"> l_:</v>
      </c>
      <c r="G147" s="49" t="s">
        <v>199</v>
      </c>
      <c r="H147" s="49" t="s">
        <v>198</v>
      </c>
    </row>
    <row r="148" spans="1:9" x14ac:dyDescent="0.3">
      <c r="A148" s="54">
        <v>143</v>
      </c>
      <c r="D148" t="str">
        <f>"  type:"&amp;D$1</f>
        <v xml:space="preserve">  type:rgb</v>
      </c>
      <c r="E148" t="str">
        <f>"  type:"&amp;D$1</f>
        <v xml:space="preserve">  type:rgb</v>
      </c>
      <c r="G148" s="49" t="str">
        <f>"    - number: "&amp;$B$4&amp;"-0-"&amp;I148</f>
        <v xml:space="preserve">    - number: 6-0-57</v>
      </c>
      <c r="H148" s="49" t="str">
        <f>"    - number: "&amp;$B$4&amp;"-0-"&amp;I148</f>
        <v xml:space="preserve">    - number: 6-0-57</v>
      </c>
      <c r="I148" s="56">
        <f>I138+4</f>
        <v>57</v>
      </c>
    </row>
    <row r="149" spans="1:9" x14ac:dyDescent="0.3">
      <c r="A149" s="54">
        <v>144</v>
      </c>
      <c r="D149" t="str">
        <f>"  number: "&amp;B$4&amp;"-0-"&amp;A54</f>
        <v xml:space="preserve">  number: 6-0-49</v>
      </c>
      <c r="E149" t="str">
        <f>"  number: "&amp;B$4&amp;"-0-"&amp;A54</f>
        <v xml:space="preserve">  number: 6-0-49</v>
      </c>
      <c r="G149" s="49" t="s">
        <v>209</v>
      </c>
      <c r="H149" s="49" t="s">
        <v>209</v>
      </c>
    </row>
    <row r="150" spans="1:9" x14ac:dyDescent="0.3">
      <c r="A150" s="54">
        <v>145</v>
      </c>
      <c r="D150" t="str">
        <f>" l_"&amp;B55&amp;":"</f>
        <v xml:space="preserve"> l_:</v>
      </c>
      <c r="E150" t="str">
        <f>" l_"&amp;B55&amp;":"</f>
        <v xml:space="preserve"> l_:</v>
      </c>
      <c r="G150" s="49" t="str">
        <f>"    - number: "&amp;$B$4&amp;"-0-"&amp;I150</f>
        <v xml:space="preserve">    - number: 6-0-58</v>
      </c>
      <c r="H150" s="49" t="str">
        <f>"    - number: "&amp;$B$4&amp;"-0-"&amp;I150</f>
        <v xml:space="preserve">    - number: 6-0-58</v>
      </c>
      <c r="I150" s="56">
        <f>I140+4</f>
        <v>58</v>
      </c>
    </row>
    <row r="151" spans="1:9" x14ac:dyDescent="0.3">
      <c r="A151" s="54">
        <v>146</v>
      </c>
      <c r="D151" t="str">
        <f>"  type:"&amp;D$1</f>
        <v xml:space="preserve">  type:rgb</v>
      </c>
      <c r="E151" t="str">
        <f>"  type:"&amp;D$1</f>
        <v xml:space="preserve">  type:rgb</v>
      </c>
      <c r="G151" s="49" t="s">
        <v>210</v>
      </c>
      <c r="H151" s="49" t="s">
        <v>210</v>
      </c>
    </row>
    <row r="152" spans="1:9" x14ac:dyDescent="0.3">
      <c r="A152" s="54">
        <v>147</v>
      </c>
      <c r="D152" t="str">
        <f>"  number: "&amp;B$4&amp;"-0-"&amp;A55</f>
        <v xml:space="preserve">  number: 6-0-50</v>
      </c>
      <c r="E152" t="str">
        <f>"  number: "&amp;B$4&amp;"-0-"&amp;A55</f>
        <v xml:space="preserve">  number: 6-0-50</v>
      </c>
      <c r="G152" s="49" t="str">
        <f>"    - number: "&amp;$B$4&amp;"-0-"&amp;I152</f>
        <v xml:space="preserve">    - number: 6-0-59</v>
      </c>
      <c r="H152" s="49" t="str">
        <f>"    - number: "&amp;$B$4&amp;"-0-"&amp;I152</f>
        <v xml:space="preserve">    - number: 6-0-59</v>
      </c>
      <c r="I152" s="56">
        <f>I142+4</f>
        <v>59</v>
      </c>
    </row>
    <row r="153" spans="1:9" x14ac:dyDescent="0.3">
      <c r="A153" s="54">
        <v>148</v>
      </c>
      <c r="G153" t="str">
        <f ca="1">" l_"&amp;OFFSET(B$6,(A156-1)/10,0)&amp;":"</f>
        <v xml:space="preserve"> l_:</v>
      </c>
      <c r="H153" t="str">
        <f ca="1">" l_"&amp;OFFSET(B$6,(A156-1)/10,0)&amp;":"</f>
        <v xml:space="preserve"> l_:</v>
      </c>
    </row>
    <row r="154" spans="1:9" x14ac:dyDescent="0.3">
      <c r="A154" s="54">
        <v>149</v>
      </c>
      <c r="G154" s="49" t="s">
        <v>195</v>
      </c>
      <c r="H154" s="49" t="s">
        <v>195</v>
      </c>
    </row>
    <row r="155" spans="1:9" x14ac:dyDescent="0.3">
      <c r="A155" s="54">
        <v>150</v>
      </c>
      <c r="G155" s="49" t="s">
        <v>198</v>
      </c>
      <c r="H155" s="49" t="s">
        <v>199</v>
      </c>
    </row>
    <row r="156" spans="1:9" x14ac:dyDescent="0.3">
      <c r="A156" s="54">
        <v>151</v>
      </c>
      <c r="G156" s="49" t="str">
        <f>"    - number: "&amp;$B$4&amp;"-0-"&amp;I156</f>
        <v xml:space="preserve">    - number: 6-0-60</v>
      </c>
      <c r="H156" s="49" t="str">
        <f>"    - number: "&amp;$B$4&amp;"-0-"&amp;I156</f>
        <v xml:space="preserve">    - number: 6-0-60</v>
      </c>
      <c r="I156" s="56">
        <f>I146+4</f>
        <v>60</v>
      </c>
    </row>
    <row r="157" spans="1:9" x14ac:dyDescent="0.3">
      <c r="A157" s="54">
        <v>152</v>
      </c>
      <c r="G157" s="49" t="s">
        <v>199</v>
      </c>
      <c r="H157" s="49" t="s">
        <v>198</v>
      </c>
    </row>
    <row r="158" spans="1:9" x14ac:dyDescent="0.3">
      <c r="A158" s="54">
        <v>153</v>
      </c>
      <c r="G158" s="49" t="str">
        <f>"    - number: "&amp;$B$4&amp;"-0-"&amp;I158</f>
        <v xml:space="preserve">    - number: 6-0-61</v>
      </c>
      <c r="H158" s="49" t="str">
        <f>"    - number: "&amp;$B$4&amp;"-0-"&amp;I158</f>
        <v xml:space="preserve">    - number: 6-0-61</v>
      </c>
      <c r="I158" s="56">
        <f>I148+4</f>
        <v>61</v>
      </c>
    </row>
    <row r="159" spans="1:9" x14ac:dyDescent="0.3">
      <c r="A159" s="54">
        <v>154</v>
      </c>
      <c r="G159" s="49" t="s">
        <v>209</v>
      </c>
      <c r="H159" s="49" t="s">
        <v>209</v>
      </c>
    </row>
    <row r="160" spans="1:9" x14ac:dyDescent="0.3">
      <c r="A160" s="54">
        <v>155</v>
      </c>
      <c r="G160" s="49" t="str">
        <f>"    - number: "&amp;$B$4&amp;"-0-"&amp;I160</f>
        <v xml:space="preserve">    - number: 6-0-62</v>
      </c>
      <c r="H160" s="49" t="str">
        <f>"    - number: "&amp;$B$4&amp;"-0-"&amp;I160</f>
        <v xml:space="preserve">    - number: 6-0-62</v>
      </c>
      <c r="I160" s="56">
        <f>I150+4</f>
        <v>62</v>
      </c>
    </row>
    <row r="161" spans="1:9" x14ac:dyDescent="0.3">
      <c r="A161" s="54">
        <v>156</v>
      </c>
      <c r="G161" s="49" t="s">
        <v>210</v>
      </c>
      <c r="H161" s="49" t="s">
        <v>210</v>
      </c>
    </row>
    <row r="162" spans="1:9" x14ac:dyDescent="0.3">
      <c r="A162" s="54">
        <v>157</v>
      </c>
      <c r="G162" s="49" t="str">
        <f>"    - number: "&amp;$B$4&amp;"-0-"&amp;I162</f>
        <v xml:space="preserve">    - number: 6-0-63</v>
      </c>
      <c r="H162" s="49" t="str">
        <f>"    - number: "&amp;$B$4&amp;"-0-"&amp;I162</f>
        <v xml:space="preserve">    - number: 6-0-63</v>
      </c>
      <c r="I162" s="56">
        <f>I152+4</f>
        <v>63</v>
      </c>
    </row>
    <row r="163" spans="1:9" x14ac:dyDescent="0.3">
      <c r="A163" s="54">
        <v>158</v>
      </c>
      <c r="G163" t="str">
        <f ca="1">" l_"&amp;OFFSET(B$6,(A166-1)/10,0)&amp;":"</f>
        <v xml:space="preserve"> l_:</v>
      </c>
      <c r="H163" t="str">
        <f ca="1">" l_"&amp;OFFSET(B$6,(A166-1)/10,0)&amp;":"</f>
        <v xml:space="preserve"> l_:</v>
      </c>
    </row>
    <row r="164" spans="1:9" x14ac:dyDescent="0.3">
      <c r="A164" s="54">
        <v>159</v>
      </c>
      <c r="G164" s="49" t="s">
        <v>195</v>
      </c>
      <c r="H164" s="49" t="s">
        <v>195</v>
      </c>
    </row>
    <row r="165" spans="1:9" x14ac:dyDescent="0.3">
      <c r="A165" s="54">
        <v>160</v>
      </c>
      <c r="G165" s="49" t="s">
        <v>198</v>
      </c>
      <c r="H165" s="49" t="s">
        <v>199</v>
      </c>
    </row>
    <row r="166" spans="1:9" x14ac:dyDescent="0.3">
      <c r="A166" s="54">
        <v>161</v>
      </c>
      <c r="G166" s="49" t="str">
        <f>"    - number: "&amp;$B$4&amp;"-0-"&amp;I166</f>
        <v xml:space="preserve">    - number: 6-0-64</v>
      </c>
      <c r="H166" s="49" t="str">
        <f>"    - number: "&amp;$B$4&amp;"-0-"&amp;I166</f>
        <v xml:space="preserve">    - number: 6-0-64</v>
      </c>
      <c r="I166" s="56">
        <f>I156+4</f>
        <v>64</v>
      </c>
    </row>
    <row r="167" spans="1:9" x14ac:dyDescent="0.3">
      <c r="A167" s="54">
        <v>162</v>
      </c>
      <c r="G167" s="49" t="s">
        <v>199</v>
      </c>
      <c r="H167" s="49" t="s">
        <v>198</v>
      </c>
    </row>
    <row r="168" spans="1:9" x14ac:dyDescent="0.3">
      <c r="A168" s="54">
        <v>163</v>
      </c>
      <c r="G168" s="49" t="str">
        <f>"    - number: "&amp;$B$4&amp;"-0-"&amp;I168</f>
        <v xml:space="preserve">    - number: 6-0-65</v>
      </c>
      <c r="H168" s="49" t="str">
        <f>"    - number: "&amp;$B$4&amp;"-0-"&amp;I168</f>
        <v xml:space="preserve">    - number: 6-0-65</v>
      </c>
      <c r="I168" s="56">
        <f>I158+4</f>
        <v>65</v>
      </c>
    </row>
    <row r="169" spans="1:9" x14ac:dyDescent="0.3">
      <c r="A169" s="54">
        <v>164</v>
      </c>
      <c r="G169" s="49" t="s">
        <v>209</v>
      </c>
      <c r="H169" s="49" t="s">
        <v>209</v>
      </c>
    </row>
    <row r="170" spans="1:9" x14ac:dyDescent="0.3">
      <c r="A170" s="54">
        <v>165</v>
      </c>
      <c r="G170" s="49" t="str">
        <f>"    - number: "&amp;$B$4&amp;"-0-"&amp;I170</f>
        <v xml:space="preserve">    - number: 6-0-66</v>
      </c>
      <c r="H170" s="49" t="str">
        <f>"    - number: "&amp;$B$4&amp;"-0-"&amp;I170</f>
        <v xml:space="preserve">    - number: 6-0-66</v>
      </c>
      <c r="I170" s="56">
        <f>I160+4</f>
        <v>66</v>
      </c>
    </row>
    <row r="171" spans="1:9" x14ac:dyDescent="0.3">
      <c r="A171" s="54">
        <v>166</v>
      </c>
      <c r="G171" s="49" t="s">
        <v>210</v>
      </c>
      <c r="H171" s="49" t="s">
        <v>210</v>
      </c>
    </row>
    <row r="172" spans="1:9" x14ac:dyDescent="0.3">
      <c r="A172" s="54">
        <v>167</v>
      </c>
      <c r="G172" s="49" t="str">
        <f>"    - number: "&amp;$B$4&amp;"-0-"&amp;I172</f>
        <v xml:space="preserve">    - number: 6-0-67</v>
      </c>
      <c r="H172" s="49" t="str">
        <f>"    - number: "&amp;$B$4&amp;"-0-"&amp;I172</f>
        <v xml:space="preserve">    - number: 6-0-67</v>
      </c>
      <c r="I172" s="56">
        <f>I162+4</f>
        <v>67</v>
      </c>
    </row>
    <row r="173" spans="1:9" x14ac:dyDescent="0.3">
      <c r="A173" s="54">
        <v>168</v>
      </c>
      <c r="G173" t="str">
        <f ca="1">" l_"&amp;OFFSET(B$6,(A176-1)/10,0)&amp;":"</f>
        <v xml:space="preserve"> l_:</v>
      </c>
      <c r="H173" t="str">
        <f ca="1">" l_"&amp;OFFSET(B$6,(A176-1)/10,0)&amp;":"</f>
        <v xml:space="preserve"> l_:</v>
      </c>
    </row>
    <row r="174" spans="1:9" x14ac:dyDescent="0.3">
      <c r="A174" s="54">
        <v>169</v>
      </c>
      <c r="G174" s="49" t="s">
        <v>195</v>
      </c>
      <c r="H174" s="49" t="s">
        <v>195</v>
      </c>
    </row>
    <row r="175" spans="1:9" x14ac:dyDescent="0.3">
      <c r="A175" s="54">
        <v>170</v>
      </c>
      <c r="G175" s="49" t="s">
        <v>198</v>
      </c>
      <c r="H175" s="49" t="s">
        <v>199</v>
      </c>
    </row>
    <row r="176" spans="1:9" x14ac:dyDescent="0.3">
      <c r="A176" s="54">
        <v>171</v>
      </c>
      <c r="G176" s="49" t="str">
        <f>"    - number: "&amp;$B$4&amp;"-0-"&amp;I176</f>
        <v xml:space="preserve">    - number: 6-0-68</v>
      </c>
      <c r="H176" s="49" t="str">
        <f>"    - number: "&amp;$B$4&amp;"-0-"&amp;I176</f>
        <v xml:space="preserve">    - number: 6-0-68</v>
      </c>
      <c r="I176" s="56">
        <f>I166+4</f>
        <v>68</v>
      </c>
    </row>
    <row r="177" spans="1:9" x14ac:dyDescent="0.3">
      <c r="A177" s="54">
        <v>172</v>
      </c>
      <c r="G177" s="49" t="s">
        <v>199</v>
      </c>
      <c r="H177" s="49" t="s">
        <v>198</v>
      </c>
    </row>
    <row r="178" spans="1:9" x14ac:dyDescent="0.3">
      <c r="A178" s="54">
        <v>173</v>
      </c>
      <c r="G178" s="49" t="str">
        <f>"    - number: "&amp;$B$4&amp;"-0-"&amp;I178</f>
        <v xml:space="preserve">    - number: 6-0-69</v>
      </c>
      <c r="H178" s="49" t="str">
        <f>"    - number: "&amp;$B$4&amp;"-0-"&amp;I178</f>
        <v xml:space="preserve">    - number: 6-0-69</v>
      </c>
      <c r="I178" s="56">
        <f>I168+4</f>
        <v>69</v>
      </c>
    </row>
    <row r="179" spans="1:9" x14ac:dyDescent="0.3">
      <c r="A179" s="54">
        <v>174</v>
      </c>
      <c r="G179" s="49" t="s">
        <v>209</v>
      </c>
      <c r="H179" s="49" t="s">
        <v>209</v>
      </c>
    </row>
    <row r="180" spans="1:9" x14ac:dyDescent="0.3">
      <c r="A180" s="54">
        <v>175</v>
      </c>
      <c r="G180" s="49" t="str">
        <f>"    - number: "&amp;$B$4&amp;"-0-"&amp;I180</f>
        <v xml:space="preserve">    - number: 6-0-70</v>
      </c>
      <c r="H180" s="49" t="str">
        <f>"    - number: "&amp;$B$4&amp;"-0-"&amp;I180</f>
        <v xml:space="preserve">    - number: 6-0-70</v>
      </c>
      <c r="I180" s="56">
        <f>I170+4</f>
        <v>70</v>
      </c>
    </row>
    <row r="181" spans="1:9" x14ac:dyDescent="0.3">
      <c r="A181" s="54">
        <v>176</v>
      </c>
      <c r="G181" s="49" t="s">
        <v>210</v>
      </c>
      <c r="H181" s="49" t="s">
        <v>210</v>
      </c>
    </row>
    <row r="182" spans="1:9" x14ac:dyDescent="0.3">
      <c r="A182" s="54">
        <v>177</v>
      </c>
      <c r="G182" s="49" t="str">
        <f>"    - number: "&amp;$B$4&amp;"-0-"&amp;I182</f>
        <v xml:space="preserve">    - number: 6-0-71</v>
      </c>
      <c r="H182" s="49" t="str">
        <f>"    - number: "&amp;$B$4&amp;"-0-"&amp;I182</f>
        <v xml:space="preserve">    - number: 6-0-71</v>
      </c>
      <c r="I182" s="56">
        <f>I172+4</f>
        <v>71</v>
      </c>
    </row>
    <row r="183" spans="1:9" x14ac:dyDescent="0.3">
      <c r="A183" s="54">
        <v>178</v>
      </c>
      <c r="G183" t="str">
        <f ca="1">" l_"&amp;OFFSET(B$6,(A186-1)/10,0)&amp;":"</f>
        <v xml:space="preserve"> l_:</v>
      </c>
      <c r="H183" t="str">
        <f ca="1">" l_"&amp;OFFSET(B$6,(A186-1)/10,0)&amp;":"</f>
        <v xml:space="preserve"> l_:</v>
      </c>
    </row>
    <row r="184" spans="1:9" x14ac:dyDescent="0.3">
      <c r="A184" s="54">
        <v>179</v>
      </c>
      <c r="G184" s="49" t="s">
        <v>195</v>
      </c>
      <c r="H184" s="49" t="s">
        <v>195</v>
      </c>
    </row>
    <row r="185" spans="1:9" x14ac:dyDescent="0.3">
      <c r="A185" s="54">
        <v>180</v>
      </c>
      <c r="G185" s="49" t="s">
        <v>198</v>
      </c>
      <c r="H185" s="49" t="s">
        <v>199</v>
      </c>
    </row>
    <row r="186" spans="1:9" x14ac:dyDescent="0.3">
      <c r="A186" s="54">
        <v>181</v>
      </c>
      <c r="G186" s="49" t="str">
        <f>"    - number: "&amp;$B$4&amp;"-0-"&amp;I186</f>
        <v xml:space="preserve">    - number: 6-0-72</v>
      </c>
      <c r="H186" s="49" t="str">
        <f>"    - number: "&amp;$B$4&amp;"-0-"&amp;I186</f>
        <v xml:space="preserve">    - number: 6-0-72</v>
      </c>
      <c r="I186" s="56">
        <f>I176+4</f>
        <v>72</v>
      </c>
    </row>
    <row r="187" spans="1:9" x14ac:dyDescent="0.3">
      <c r="A187" s="54">
        <v>182</v>
      </c>
      <c r="G187" s="49" t="s">
        <v>199</v>
      </c>
      <c r="H187" s="49" t="s">
        <v>198</v>
      </c>
    </row>
    <row r="188" spans="1:9" x14ac:dyDescent="0.3">
      <c r="A188" s="54">
        <v>183</v>
      </c>
      <c r="G188" s="49" t="str">
        <f>"    - number: "&amp;$B$4&amp;"-0-"&amp;I188</f>
        <v xml:space="preserve">    - number: 6-0-73</v>
      </c>
      <c r="H188" s="49" t="str">
        <f>"    - number: "&amp;$B$4&amp;"-0-"&amp;I188</f>
        <v xml:space="preserve">    - number: 6-0-73</v>
      </c>
      <c r="I188" s="56">
        <f>I178+4</f>
        <v>73</v>
      </c>
    </row>
    <row r="189" spans="1:9" x14ac:dyDescent="0.3">
      <c r="A189" s="54">
        <v>184</v>
      </c>
      <c r="G189" s="49" t="s">
        <v>209</v>
      </c>
      <c r="H189" s="49" t="s">
        <v>209</v>
      </c>
    </row>
    <row r="190" spans="1:9" x14ac:dyDescent="0.3">
      <c r="A190" s="54">
        <v>185</v>
      </c>
      <c r="G190" s="49" t="str">
        <f>"    - number: "&amp;$B$4&amp;"-0-"&amp;I190</f>
        <v xml:space="preserve">    - number: 6-0-74</v>
      </c>
      <c r="H190" s="49" t="str">
        <f>"    - number: "&amp;$B$4&amp;"-0-"&amp;I190</f>
        <v xml:space="preserve">    - number: 6-0-74</v>
      </c>
      <c r="I190" s="56">
        <f>I180+4</f>
        <v>74</v>
      </c>
    </row>
    <row r="191" spans="1:9" x14ac:dyDescent="0.3">
      <c r="A191" s="54">
        <v>186</v>
      </c>
      <c r="G191" s="49" t="s">
        <v>210</v>
      </c>
      <c r="H191" s="49" t="s">
        <v>210</v>
      </c>
    </row>
    <row r="192" spans="1:9" x14ac:dyDescent="0.3">
      <c r="A192" s="54">
        <v>187</v>
      </c>
      <c r="G192" s="49" t="str">
        <f>"    - number: "&amp;$B$4&amp;"-0-"&amp;I192</f>
        <v xml:space="preserve">    - number: 6-0-75</v>
      </c>
      <c r="H192" s="49" t="str">
        <f>"    - number: "&amp;$B$4&amp;"-0-"&amp;I192</f>
        <v xml:space="preserve">    - number: 6-0-75</v>
      </c>
      <c r="I192" s="56">
        <f>I182+4</f>
        <v>75</v>
      </c>
    </row>
    <row r="193" spans="1:9" x14ac:dyDescent="0.3">
      <c r="A193" s="54">
        <v>188</v>
      </c>
      <c r="G193" t="str">
        <f ca="1">" l_"&amp;OFFSET(B$6,(A196-1)/10,0)&amp;":"</f>
        <v xml:space="preserve"> l_:</v>
      </c>
      <c r="H193" t="str">
        <f ca="1">" l_"&amp;OFFSET(B$6,(A196-1)/10,0)&amp;":"</f>
        <v xml:space="preserve"> l_:</v>
      </c>
    </row>
    <row r="194" spans="1:9" x14ac:dyDescent="0.3">
      <c r="A194" s="54">
        <v>189</v>
      </c>
      <c r="G194" s="49" t="s">
        <v>195</v>
      </c>
      <c r="H194" s="49" t="s">
        <v>195</v>
      </c>
    </row>
    <row r="195" spans="1:9" x14ac:dyDescent="0.3">
      <c r="A195" s="54">
        <v>190</v>
      </c>
      <c r="G195" s="49" t="s">
        <v>198</v>
      </c>
      <c r="H195" s="49" t="s">
        <v>199</v>
      </c>
    </row>
    <row r="196" spans="1:9" x14ac:dyDescent="0.3">
      <c r="A196" s="54">
        <v>191</v>
      </c>
      <c r="G196" s="49" t="str">
        <f>"    - number: "&amp;$B$4&amp;"-0-"&amp;I196</f>
        <v xml:space="preserve">    - number: 6-0-76</v>
      </c>
      <c r="H196" s="49" t="str">
        <f>"    - number: "&amp;$B$4&amp;"-0-"&amp;I196</f>
        <v xml:space="preserve">    - number: 6-0-76</v>
      </c>
      <c r="I196" s="56">
        <f>I186+4</f>
        <v>76</v>
      </c>
    </row>
    <row r="197" spans="1:9" x14ac:dyDescent="0.3">
      <c r="A197" s="54">
        <v>192</v>
      </c>
      <c r="G197" s="49" t="s">
        <v>199</v>
      </c>
      <c r="H197" s="49" t="s">
        <v>198</v>
      </c>
    </row>
    <row r="198" spans="1:9" x14ac:dyDescent="0.3">
      <c r="A198" s="54">
        <v>193</v>
      </c>
      <c r="G198" s="49" t="str">
        <f>"    - number: "&amp;$B$4&amp;"-0-"&amp;I198</f>
        <v xml:space="preserve">    - number: 6-0-77</v>
      </c>
      <c r="H198" s="49" t="str">
        <f>"    - number: "&amp;$B$4&amp;"-0-"&amp;I198</f>
        <v xml:space="preserve">    - number: 6-0-77</v>
      </c>
      <c r="I198" s="56">
        <f>I188+4</f>
        <v>77</v>
      </c>
    </row>
    <row r="199" spans="1:9" x14ac:dyDescent="0.3">
      <c r="A199" s="54">
        <v>194</v>
      </c>
      <c r="G199" s="49" t="s">
        <v>209</v>
      </c>
      <c r="H199" s="49" t="s">
        <v>209</v>
      </c>
    </row>
    <row r="200" spans="1:9" x14ac:dyDescent="0.3">
      <c r="A200" s="54">
        <v>195</v>
      </c>
      <c r="G200" s="49" t="str">
        <f>"    - number: "&amp;$B$4&amp;"-0-"&amp;I200</f>
        <v xml:space="preserve">    - number: 6-0-78</v>
      </c>
      <c r="H200" s="49" t="str">
        <f>"    - number: "&amp;$B$4&amp;"-0-"&amp;I200</f>
        <v xml:space="preserve">    - number: 6-0-78</v>
      </c>
      <c r="I200" s="56">
        <f>I190+4</f>
        <v>78</v>
      </c>
    </row>
    <row r="201" spans="1:9" x14ac:dyDescent="0.3">
      <c r="A201" s="54">
        <v>196</v>
      </c>
      <c r="G201" s="49" t="s">
        <v>210</v>
      </c>
      <c r="H201" s="49" t="s">
        <v>210</v>
      </c>
    </row>
    <row r="202" spans="1:9" x14ac:dyDescent="0.3">
      <c r="A202" s="54">
        <v>197</v>
      </c>
      <c r="G202" s="49" t="str">
        <f>"    - number: "&amp;$B$4&amp;"-0-"&amp;I202</f>
        <v xml:space="preserve">    - number: 6-0-79</v>
      </c>
      <c r="H202" s="49" t="str">
        <f>"    - number: "&amp;$B$4&amp;"-0-"&amp;I202</f>
        <v xml:space="preserve">    - number: 6-0-79</v>
      </c>
      <c r="I202" s="56">
        <f>I192+4</f>
        <v>79</v>
      </c>
    </row>
    <row r="203" spans="1:9" x14ac:dyDescent="0.3">
      <c r="A203" s="54">
        <v>198</v>
      </c>
      <c r="G203" t="str">
        <f ca="1">" l_"&amp;OFFSET(B$6,(A206-1)/10,0)&amp;":"</f>
        <v xml:space="preserve"> l_:</v>
      </c>
      <c r="H203" t="str">
        <f ca="1">" l_"&amp;OFFSET(B$6,(A206-1)/10,0)&amp;":"</f>
        <v xml:space="preserve"> l_:</v>
      </c>
    </row>
    <row r="204" spans="1:9" x14ac:dyDescent="0.3">
      <c r="A204" s="54">
        <v>199</v>
      </c>
      <c r="G204" s="49" t="s">
        <v>195</v>
      </c>
      <c r="H204" s="49" t="s">
        <v>195</v>
      </c>
    </row>
    <row r="205" spans="1:9" x14ac:dyDescent="0.3">
      <c r="A205" s="54">
        <v>200</v>
      </c>
      <c r="G205" s="49" t="s">
        <v>198</v>
      </c>
      <c r="H205" s="49" t="s">
        <v>199</v>
      </c>
    </row>
    <row r="206" spans="1:9" x14ac:dyDescent="0.3">
      <c r="A206" s="54">
        <v>201</v>
      </c>
      <c r="G206" s="49" t="str">
        <f>"    - number: "&amp;$B$4&amp;"-0-"&amp;I206</f>
        <v xml:space="preserve">    - number: 6-0-80</v>
      </c>
      <c r="H206" s="49" t="str">
        <f>"    - number: "&amp;$B$4&amp;"-0-"&amp;I206</f>
        <v xml:space="preserve">    - number: 6-0-80</v>
      </c>
      <c r="I206" s="56">
        <f>I196+4</f>
        <v>80</v>
      </c>
    </row>
    <row r="207" spans="1:9" x14ac:dyDescent="0.3">
      <c r="A207" s="54">
        <v>202</v>
      </c>
      <c r="G207" s="49" t="s">
        <v>199</v>
      </c>
      <c r="H207" s="49" t="s">
        <v>198</v>
      </c>
    </row>
    <row r="208" spans="1:9" x14ac:dyDescent="0.3">
      <c r="A208" s="54">
        <v>203</v>
      </c>
      <c r="G208" s="49" t="str">
        <f>"    - number: "&amp;$B$4&amp;"-0-"&amp;I208</f>
        <v xml:space="preserve">    - number: 6-0-81</v>
      </c>
      <c r="H208" s="49" t="str">
        <f>"    - number: "&amp;$B$4&amp;"-0-"&amp;I208</f>
        <v xml:space="preserve">    - number: 6-0-81</v>
      </c>
      <c r="I208" s="56">
        <f>I198+4</f>
        <v>81</v>
      </c>
    </row>
    <row r="209" spans="1:9" x14ac:dyDescent="0.3">
      <c r="A209" s="54">
        <v>204</v>
      </c>
      <c r="G209" s="49" t="s">
        <v>209</v>
      </c>
      <c r="H209" s="49" t="s">
        <v>209</v>
      </c>
    </row>
    <row r="210" spans="1:9" x14ac:dyDescent="0.3">
      <c r="A210" s="54">
        <v>205</v>
      </c>
      <c r="G210" s="49" t="str">
        <f>"    - number: "&amp;$B$4&amp;"-0-"&amp;I210</f>
        <v xml:space="preserve">    - number: 6-0-82</v>
      </c>
      <c r="H210" s="49" t="str">
        <f>"    - number: "&amp;$B$4&amp;"-0-"&amp;I210</f>
        <v xml:space="preserve">    - number: 6-0-82</v>
      </c>
      <c r="I210" s="56">
        <f>I200+4</f>
        <v>82</v>
      </c>
    </row>
    <row r="211" spans="1:9" x14ac:dyDescent="0.3">
      <c r="A211" s="54">
        <v>206</v>
      </c>
      <c r="G211" s="49" t="s">
        <v>210</v>
      </c>
      <c r="H211" s="49" t="s">
        <v>210</v>
      </c>
    </row>
    <row r="212" spans="1:9" x14ac:dyDescent="0.3">
      <c r="A212" s="54">
        <v>207</v>
      </c>
      <c r="G212" s="49" t="str">
        <f>"    - number: "&amp;$B$4&amp;"-0-"&amp;I212</f>
        <v xml:space="preserve">    - number: 6-0-83</v>
      </c>
      <c r="H212" s="49" t="str">
        <f>"    - number: "&amp;$B$4&amp;"-0-"&amp;I212</f>
        <v xml:space="preserve">    - number: 6-0-83</v>
      </c>
      <c r="I212" s="56">
        <f>I202+4</f>
        <v>83</v>
      </c>
    </row>
    <row r="213" spans="1:9" x14ac:dyDescent="0.3">
      <c r="A213" s="54">
        <v>208</v>
      </c>
      <c r="G213" t="str">
        <f ca="1">" l_"&amp;OFFSET(B$6,(A216-1)/10,0)&amp;":"</f>
        <v xml:space="preserve"> l_:</v>
      </c>
      <c r="H213" t="str">
        <f ca="1">" l_"&amp;OFFSET(B$6,(A216-1)/10,0)&amp;":"</f>
        <v xml:space="preserve"> l_:</v>
      </c>
    </row>
    <row r="214" spans="1:9" x14ac:dyDescent="0.3">
      <c r="A214" s="54">
        <v>209</v>
      </c>
      <c r="G214" s="49" t="s">
        <v>195</v>
      </c>
      <c r="H214" s="49" t="s">
        <v>195</v>
      </c>
    </row>
    <row r="215" spans="1:9" x14ac:dyDescent="0.3">
      <c r="A215" s="54">
        <v>210</v>
      </c>
      <c r="G215" s="49" t="s">
        <v>198</v>
      </c>
      <c r="H215" s="49" t="s">
        <v>199</v>
      </c>
    </row>
    <row r="216" spans="1:9" x14ac:dyDescent="0.3">
      <c r="A216" s="54">
        <v>211</v>
      </c>
      <c r="G216" s="49" t="str">
        <f>"    - number: "&amp;$B$4&amp;"-0-"&amp;I216</f>
        <v xml:space="preserve">    - number: 6-0-84</v>
      </c>
      <c r="H216" s="49" t="str">
        <f>"    - number: "&amp;$B$4&amp;"-0-"&amp;I216</f>
        <v xml:space="preserve">    - number: 6-0-84</v>
      </c>
      <c r="I216" s="56">
        <f>I206+4</f>
        <v>84</v>
      </c>
    </row>
    <row r="217" spans="1:9" x14ac:dyDescent="0.3">
      <c r="A217" s="54">
        <v>212</v>
      </c>
      <c r="G217" s="49" t="s">
        <v>199</v>
      </c>
      <c r="H217" s="49" t="s">
        <v>198</v>
      </c>
    </row>
    <row r="218" spans="1:9" x14ac:dyDescent="0.3">
      <c r="A218" s="54">
        <v>213</v>
      </c>
      <c r="G218" s="49" t="str">
        <f>"    - number: "&amp;$B$4&amp;"-0-"&amp;I218</f>
        <v xml:space="preserve">    - number: 6-0-85</v>
      </c>
      <c r="H218" s="49" t="str">
        <f>"    - number: "&amp;$B$4&amp;"-0-"&amp;I218</f>
        <v xml:space="preserve">    - number: 6-0-85</v>
      </c>
      <c r="I218" s="56">
        <f>I208+4</f>
        <v>85</v>
      </c>
    </row>
    <row r="219" spans="1:9" x14ac:dyDescent="0.3">
      <c r="A219" s="54">
        <v>214</v>
      </c>
      <c r="G219" s="49" t="s">
        <v>209</v>
      </c>
      <c r="H219" s="49" t="s">
        <v>209</v>
      </c>
    </row>
    <row r="220" spans="1:9" x14ac:dyDescent="0.3">
      <c r="A220" s="54">
        <v>215</v>
      </c>
      <c r="G220" s="49" t="str">
        <f>"    - number: "&amp;$B$4&amp;"-0-"&amp;I220</f>
        <v xml:space="preserve">    - number: 6-0-86</v>
      </c>
      <c r="H220" s="49" t="str">
        <f>"    - number: "&amp;$B$4&amp;"-0-"&amp;I220</f>
        <v xml:space="preserve">    - number: 6-0-86</v>
      </c>
      <c r="I220" s="56">
        <f>I210+4</f>
        <v>86</v>
      </c>
    </row>
    <row r="221" spans="1:9" x14ac:dyDescent="0.3">
      <c r="A221" s="54">
        <v>216</v>
      </c>
      <c r="G221" s="49" t="s">
        <v>210</v>
      </c>
      <c r="H221" s="49" t="s">
        <v>210</v>
      </c>
    </row>
    <row r="222" spans="1:9" x14ac:dyDescent="0.3">
      <c r="A222" s="54">
        <v>217</v>
      </c>
      <c r="G222" s="49" t="str">
        <f>"    - number: "&amp;$B$4&amp;"-0-"&amp;I222</f>
        <v xml:space="preserve">    - number: 6-0-87</v>
      </c>
      <c r="H222" s="49" t="str">
        <f>"    - number: "&amp;$B$4&amp;"-0-"&amp;I222</f>
        <v xml:space="preserve">    - number: 6-0-87</v>
      </c>
      <c r="I222" s="56">
        <f>I212+4</f>
        <v>87</v>
      </c>
    </row>
    <row r="223" spans="1:9" x14ac:dyDescent="0.3">
      <c r="A223" s="54">
        <v>218</v>
      </c>
      <c r="G223" t="str">
        <f ca="1">" l_"&amp;OFFSET(B$6,(A226-1)/10,0)&amp;":"</f>
        <v xml:space="preserve"> l_:</v>
      </c>
      <c r="H223" t="str">
        <f ca="1">" l_"&amp;OFFSET(B$6,(A226-1)/10,0)&amp;":"</f>
        <v xml:space="preserve"> l_:</v>
      </c>
    </row>
    <row r="224" spans="1:9" x14ac:dyDescent="0.3">
      <c r="A224" s="54">
        <v>219</v>
      </c>
      <c r="G224" s="49" t="s">
        <v>195</v>
      </c>
      <c r="H224" s="49" t="s">
        <v>195</v>
      </c>
    </row>
    <row r="225" spans="1:9" x14ac:dyDescent="0.3">
      <c r="A225" s="54">
        <v>220</v>
      </c>
      <c r="G225" s="49" t="s">
        <v>198</v>
      </c>
      <c r="H225" s="49" t="s">
        <v>199</v>
      </c>
    </row>
    <row r="226" spans="1:9" x14ac:dyDescent="0.3">
      <c r="A226" s="54">
        <v>221</v>
      </c>
      <c r="G226" s="49" t="str">
        <f>"    - number: "&amp;$B$4&amp;"-0-"&amp;I226</f>
        <v xml:space="preserve">    - number: 6-0-88</v>
      </c>
      <c r="H226" s="49" t="str">
        <f>"    - number: "&amp;$B$4&amp;"-0-"&amp;I226</f>
        <v xml:space="preserve">    - number: 6-0-88</v>
      </c>
      <c r="I226" s="56">
        <f>I216+4</f>
        <v>88</v>
      </c>
    </row>
    <row r="227" spans="1:9" x14ac:dyDescent="0.3">
      <c r="A227" s="54">
        <v>222</v>
      </c>
      <c r="G227" s="49" t="s">
        <v>199</v>
      </c>
      <c r="H227" s="49" t="s">
        <v>198</v>
      </c>
    </row>
    <row r="228" spans="1:9" x14ac:dyDescent="0.3">
      <c r="A228" s="54">
        <v>223</v>
      </c>
      <c r="G228" s="49" t="str">
        <f>"    - number: "&amp;$B$4&amp;"-0-"&amp;I228</f>
        <v xml:space="preserve">    - number: 6-0-89</v>
      </c>
      <c r="H228" s="49" t="str">
        <f>"    - number: "&amp;$B$4&amp;"-0-"&amp;I228</f>
        <v xml:space="preserve">    - number: 6-0-89</v>
      </c>
      <c r="I228" s="56">
        <f>I218+4</f>
        <v>89</v>
      </c>
    </row>
    <row r="229" spans="1:9" x14ac:dyDescent="0.3">
      <c r="A229" s="54">
        <v>224</v>
      </c>
      <c r="G229" s="49" t="s">
        <v>209</v>
      </c>
      <c r="H229" s="49" t="s">
        <v>209</v>
      </c>
    </row>
    <row r="230" spans="1:9" x14ac:dyDescent="0.3">
      <c r="A230" s="54">
        <v>225</v>
      </c>
      <c r="G230" s="49" t="str">
        <f>"    - number: "&amp;$B$4&amp;"-0-"&amp;I230</f>
        <v xml:space="preserve">    - number: 6-0-90</v>
      </c>
      <c r="H230" s="49" t="str">
        <f>"    - number: "&amp;$B$4&amp;"-0-"&amp;I230</f>
        <v xml:space="preserve">    - number: 6-0-90</v>
      </c>
      <c r="I230" s="56">
        <f>I220+4</f>
        <v>90</v>
      </c>
    </row>
    <row r="231" spans="1:9" x14ac:dyDescent="0.3">
      <c r="A231" s="54">
        <v>226</v>
      </c>
      <c r="G231" s="49" t="s">
        <v>210</v>
      </c>
      <c r="H231" s="49" t="s">
        <v>210</v>
      </c>
    </row>
    <row r="232" spans="1:9" x14ac:dyDescent="0.3">
      <c r="A232" s="54">
        <v>227</v>
      </c>
      <c r="G232" s="49" t="str">
        <f>"    - number: "&amp;$B$4&amp;"-0-"&amp;I232</f>
        <v xml:space="preserve">    - number: 6-0-91</v>
      </c>
      <c r="H232" s="49" t="str">
        <f>"    - number: "&amp;$B$4&amp;"-0-"&amp;I232</f>
        <v xml:space="preserve">    - number: 6-0-91</v>
      </c>
      <c r="I232" s="56">
        <f>I222+4</f>
        <v>91</v>
      </c>
    </row>
    <row r="233" spans="1:9" x14ac:dyDescent="0.3">
      <c r="A233" s="54">
        <v>228</v>
      </c>
      <c r="G233" t="str">
        <f ca="1">" l_"&amp;OFFSET(B$6,(A236-1)/10,0)&amp;":"</f>
        <v xml:space="preserve"> l_:</v>
      </c>
      <c r="H233" t="str">
        <f ca="1">" l_"&amp;OFFSET(B$6,(A236-1)/10,0)&amp;":"</f>
        <v xml:space="preserve"> l_:</v>
      </c>
    </row>
    <row r="234" spans="1:9" x14ac:dyDescent="0.3">
      <c r="A234" s="54">
        <v>229</v>
      </c>
      <c r="G234" s="49" t="s">
        <v>195</v>
      </c>
      <c r="H234" s="49" t="s">
        <v>195</v>
      </c>
    </row>
    <row r="235" spans="1:9" x14ac:dyDescent="0.3">
      <c r="A235" s="54">
        <v>230</v>
      </c>
      <c r="G235" s="49" t="s">
        <v>198</v>
      </c>
      <c r="H235" s="49" t="s">
        <v>199</v>
      </c>
    </row>
    <row r="236" spans="1:9" x14ac:dyDescent="0.3">
      <c r="A236" s="54">
        <v>231</v>
      </c>
      <c r="G236" s="49" t="str">
        <f>"    - number: "&amp;$B$4&amp;"-0-"&amp;I236</f>
        <v xml:space="preserve">    - number: 6-0-92</v>
      </c>
      <c r="H236" s="49" t="str">
        <f>"    - number: "&amp;$B$4&amp;"-0-"&amp;I236</f>
        <v xml:space="preserve">    - number: 6-0-92</v>
      </c>
      <c r="I236" s="56">
        <f>I226+4</f>
        <v>92</v>
      </c>
    </row>
    <row r="237" spans="1:9" x14ac:dyDescent="0.3">
      <c r="A237" s="54">
        <v>232</v>
      </c>
      <c r="G237" s="49" t="s">
        <v>199</v>
      </c>
      <c r="H237" s="49" t="s">
        <v>198</v>
      </c>
    </row>
    <row r="238" spans="1:9" x14ac:dyDescent="0.3">
      <c r="A238" s="54">
        <v>233</v>
      </c>
      <c r="G238" s="49" t="str">
        <f>"    - number: "&amp;$B$4&amp;"-0-"&amp;I238</f>
        <v xml:space="preserve">    - number: 6-0-93</v>
      </c>
      <c r="H238" s="49" t="str">
        <f>"    - number: "&amp;$B$4&amp;"-0-"&amp;I238</f>
        <v xml:space="preserve">    - number: 6-0-93</v>
      </c>
      <c r="I238" s="56">
        <f>I228+4</f>
        <v>93</v>
      </c>
    </row>
    <row r="239" spans="1:9" x14ac:dyDescent="0.3">
      <c r="A239" s="54">
        <v>234</v>
      </c>
      <c r="G239" s="49" t="s">
        <v>209</v>
      </c>
      <c r="H239" s="49" t="s">
        <v>209</v>
      </c>
    </row>
    <row r="240" spans="1:9" x14ac:dyDescent="0.3">
      <c r="A240" s="54">
        <v>235</v>
      </c>
      <c r="G240" s="49" t="str">
        <f>"    - number: "&amp;$B$4&amp;"-0-"&amp;I240</f>
        <v xml:space="preserve">    - number: 6-0-94</v>
      </c>
      <c r="H240" s="49" t="str">
        <f>"    - number: "&amp;$B$4&amp;"-0-"&amp;I240</f>
        <v xml:space="preserve">    - number: 6-0-94</v>
      </c>
      <c r="I240" s="56">
        <f>I230+4</f>
        <v>94</v>
      </c>
    </row>
    <row r="241" spans="1:9" x14ac:dyDescent="0.3">
      <c r="A241" s="54">
        <v>236</v>
      </c>
      <c r="G241" s="49" t="s">
        <v>210</v>
      </c>
      <c r="H241" s="49" t="s">
        <v>210</v>
      </c>
    </row>
    <row r="242" spans="1:9" x14ac:dyDescent="0.3">
      <c r="A242" s="54">
        <v>237</v>
      </c>
      <c r="G242" s="49" t="str">
        <f>"    - number: "&amp;$B$4&amp;"-0-"&amp;I242</f>
        <v xml:space="preserve">    - number: 6-0-95</v>
      </c>
      <c r="H242" s="49" t="str">
        <f>"    - number: "&amp;$B$4&amp;"-0-"&amp;I242</f>
        <v xml:space="preserve">    - number: 6-0-95</v>
      </c>
      <c r="I242" s="56">
        <f>I232+4</f>
        <v>95</v>
      </c>
    </row>
    <row r="243" spans="1:9" x14ac:dyDescent="0.3">
      <c r="A243" s="54">
        <v>238</v>
      </c>
      <c r="G243" t="str">
        <f ca="1">" l_"&amp;OFFSET(B$6,(A246-1)/10,0)&amp;":"</f>
        <v xml:space="preserve"> l_:</v>
      </c>
      <c r="H243" t="str">
        <f ca="1">" l_"&amp;OFFSET(B$6,(A246-1)/10,0)&amp;":"</f>
        <v xml:space="preserve"> l_:</v>
      </c>
    </row>
    <row r="244" spans="1:9" x14ac:dyDescent="0.3">
      <c r="A244" s="54">
        <v>239</v>
      </c>
      <c r="G244" s="49" t="s">
        <v>195</v>
      </c>
      <c r="H244" s="49" t="s">
        <v>195</v>
      </c>
    </row>
    <row r="245" spans="1:9" x14ac:dyDescent="0.3">
      <c r="A245" s="54">
        <v>240</v>
      </c>
      <c r="G245" s="49" t="s">
        <v>198</v>
      </c>
      <c r="H245" s="49" t="s">
        <v>199</v>
      </c>
    </row>
    <row r="246" spans="1:9" x14ac:dyDescent="0.3">
      <c r="A246" s="54">
        <v>241</v>
      </c>
      <c r="G246" s="49" t="str">
        <f>"    - number: "&amp;$B$4&amp;"-0-"&amp;I246</f>
        <v xml:space="preserve">    - number: 6-0-96</v>
      </c>
      <c r="H246" s="49" t="str">
        <f>"    - number: "&amp;$B$4&amp;"-0-"&amp;I246</f>
        <v xml:space="preserve">    - number: 6-0-96</v>
      </c>
      <c r="I246" s="56">
        <f>I236+4</f>
        <v>96</v>
      </c>
    </row>
    <row r="247" spans="1:9" x14ac:dyDescent="0.3">
      <c r="A247" s="54">
        <v>242</v>
      </c>
      <c r="G247" s="49" t="s">
        <v>199</v>
      </c>
      <c r="H247" s="49" t="s">
        <v>198</v>
      </c>
    </row>
    <row r="248" spans="1:9" x14ac:dyDescent="0.3">
      <c r="A248" s="54">
        <v>243</v>
      </c>
      <c r="G248" s="49" t="str">
        <f>"    - number: "&amp;$B$4&amp;"-0-"&amp;I248</f>
        <v xml:space="preserve">    - number: 6-0-97</v>
      </c>
      <c r="H248" s="49" t="str">
        <f>"    - number: "&amp;$B$4&amp;"-0-"&amp;I248</f>
        <v xml:space="preserve">    - number: 6-0-97</v>
      </c>
      <c r="I248" s="56">
        <f>I238+4</f>
        <v>97</v>
      </c>
    </row>
    <row r="249" spans="1:9" x14ac:dyDescent="0.3">
      <c r="A249" s="54">
        <v>244</v>
      </c>
      <c r="G249" s="49" t="s">
        <v>209</v>
      </c>
      <c r="H249" s="49" t="s">
        <v>209</v>
      </c>
    </row>
    <row r="250" spans="1:9" x14ac:dyDescent="0.3">
      <c r="A250" s="54">
        <v>245</v>
      </c>
      <c r="G250" s="49" t="str">
        <f>"    - number: "&amp;$B$4&amp;"-0-"&amp;I250</f>
        <v xml:space="preserve">    - number: 6-0-98</v>
      </c>
      <c r="H250" s="49" t="str">
        <f>"    - number: "&amp;$B$4&amp;"-0-"&amp;I250</f>
        <v xml:space="preserve">    - number: 6-0-98</v>
      </c>
      <c r="I250" s="56">
        <f>I240+4</f>
        <v>98</v>
      </c>
    </row>
    <row r="251" spans="1:9" x14ac:dyDescent="0.3">
      <c r="A251" s="54">
        <v>246</v>
      </c>
      <c r="G251" s="49" t="s">
        <v>210</v>
      </c>
      <c r="H251" s="49" t="s">
        <v>210</v>
      </c>
    </row>
    <row r="252" spans="1:9" x14ac:dyDescent="0.3">
      <c r="A252" s="54">
        <v>247</v>
      </c>
      <c r="G252" s="49" t="str">
        <f>"    - number: "&amp;$B$4&amp;"-0-"&amp;I252</f>
        <v xml:space="preserve">    - number: 6-0-99</v>
      </c>
      <c r="H252" s="49" t="str">
        <f>"    - number: "&amp;$B$4&amp;"-0-"&amp;I252</f>
        <v xml:space="preserve">    - number: 6-0-99</v>
      </c>
      <c r="I252" s="56">
        <f>I242+4</f>
        <v>99</v>
      </c>
    </row>
    <row r="253" spans="1:9" x14ac:dyDescent="0.3">
      <c r="A253" s="54">
        <v>248</v>
      </c>
      <c r="G253" t="str">
        <f ca="1">" l_"&amp;OFFSET(B$6,(A256-1)/10,0)&amp;":"</f>
        <v xml:space="preserve"> l_:</v>
      </c>
      <c r="H253" t="str">
        <f ca="1">" l_"&amp;OFFSET(B$6,(A256-1)/10,0)&amp;":"</f>
        <v xml:space="preserve"> l_:</v>
      </c>
    </row>
    <row r="254" spans="1:9" x14ac:dyDescent="0.3">
      <c r="A254" s="54">
        <v>249</v>
      </c>
      <c r="G254" s="49" t="s">
        <v>195</v>
      </c>
      <c r="H254" s="49" t="s">
        <v>195</v>
      </c>
    </row>
    <row r="255" spans="1:9" x14ac:dyDescent="0.3">
      <c r="A255" s="54">
        <v>250</v>
      </c>
      <c r="G255" s="49" t="s">
        <v>198</v>
      </c>
      <c r="H255" s="49" t="s">
        <v>199</v>
      </c>
    </row>
    <row r="256" spans="1:9" x14ac:dyDescent="0.3">
      <c r="A256" s="54">
        <v>251</v>
      </c>
      <c r="G256" s="49" t="str">
        <f>"    - number: "&amp;$B$4&amp;"-0-"&amp;I256</f>
        <v xml:space="preserve">    - number: 6-0-100</v>
      </c>
      <c r="H256" s="49" t="str">
        <f>"    - number: "&amp;$B$4&amp;"-0-"&amp;I256</f>
        <v xml:space="preserve">    - number: 6-0-100</v>
      </c>
      <c r="I256" s="56">
        <f>I246+4</f>
        <v>100</v>
      </c>
    </row>
    <row r="257" spans="1:9" x14ac:dyDescent="0.3">
      <c r="A257" s="54">
        <v>252</v>
      </c>
      <c r="G257" s="49" t="s">
        <v>199</v>
      </c>
      <c r="H257" s="49" t="s">
        <v>198</v>
      </c>
    </row>
    <row r="258" spans="1:9" x14ac:dyDescent="0.3">
      <c r="A258" s="54">
        <v>253</v>
      </c>
      <c r="G258" s="49" t="str">
        <f>"    - number: "&amp;$B$4&amp;"-0-"&amp;I258</f>
        <v xml:space="preserve">    - number: 6-0-101</v>
      </c>
      <c r="H258" s="49" t="str">
        <f>"    - number: "&amp;$B$4&amp;"-0-"&amp;I258</f>
        <v xml:space="preserve">    - number: 6-0-101</v>
      </c>
      <c r="I258" s="56">
        <f>I248+4</f>
        <v>101</v>
      </c>
    </row>
    <row r="259" spans="1:9" x14ac:dyDescent="0.3">
      <c r="A259" s="54">
        <v>254</v>
      </c>
      <c r="G259" s="49" t="s">
        <v>209</v>
      </c>
      <c r="H259" s="49" t="s">
        <v>209</v>
      </c>
    </row>
    <row r="260" spans="1:9" x14ac:dyDescent="0.3">
      <c r="A260" s="54">
        <v>255</v>
      </c>
      <c r="G260" s="49" t="str">
        <f>"    - number: "&amp;$B$4&amp;"-0-"&amp;I260</f>
        <v xml:space="preserve">    - number: 6-0-102</v>
      </c>
      <c r="H260" s="49" t="str">
        <f>"    - number: "&amp;$B$4&amp;"-0-"&amp;I260</f>
        <v xml:space="preserve">    - number: 6-0-102</v>
      </c>
      <c r="I260" s="56">
        <f>I250+4</f>
        <v>102</v>
      </c>
    </row>
    <row r="261" spans="1:9" x14ac:dyDescent="0.3">
      <c r="A261" s="54">
        <v>256</v>
      </c>
      <c r="G261" s="49" t="s">
        <v>210</v>
      </c>
      <c r="H261" s="49" t="s">
        <v>210</v>
      </c>
    </row>
    <row r="262" spans="1:9" x14ac:dyDescent="0.3">
      <c r="A262" s="54">
        <v>257</v>
      </c>
      <c r="G262" s="49" t="str">
        <f>"    - number: "&amp;$B$4&amp;"-0-"&amp;I262</f>
        <v xml:space="preserve">    - number: 6-0-103</v>
      </c>
      <c r="H262" s="49" t="str">
        <f>"    - number: "&amp;$B$4&amp;"-0-"&amp;I262</f>
        <v xml:space="preserve">    - number: 6-0-103</v>
      </c>
      <c r="I262" s="56">
        <f>I252+4</f>
        <v>103</v>
      </c>
    </row>
    <row r="263" spans="1:9" x14ac:dyDescent="0.3">
      <c r="A263" s="54">
        <v>258</v>
      </c>
      <c r="G263" t="str">
        <f ca="1">" l_"&amp;OFFSET(B$6,(A266-1)/10,0)&amp;":"</f>
        <v xml:space="preserve"> l_:</v>
      </c>
      <c r="H263" t="str">
        <f ca="1">" l_"&amp;OFFSET(B$6,(A266-1)/10,0)&amp;":"</f>
        <v xml:space="preserve"> l_:</v>
      </c>
    </row>
    <row r="264" spans="1:9" x14ac:dyDescent="0.3">
      <c r="A264" s="54">
        <v>259</v>
      </c>
      <c r="G264" s="49" t="s">
        <v>195</v>
      </c>
      <c r="H264" s="49" t="s">
        <v>195</v>
      </c>
    </row>
    <row r="265" spans="1:9" x14ac:dyDescent="0.3">
      <c r="A265" s="54">
        <v>260</v>
      </c>
      <c r="G265" s="49" t="s">
        <v>198</v>
      </c>
      <c r="H265" s="49" t="s">
        <v>199</v>
      </c>
    </row>
    <row r="266" spans="1:9" x14ac:dyDescent="0.3">
      <c r="A266" s="54">
        <v>261</v>
      </c>
      <c r="G266" s="49" t="str">
        <f>"    - number: "&amp;$B$4&amp;"-0-"&amp;I266</f>
        <v xml:space="preserve">    - number: 6-0-104</v>
      </c>
      <c r="H266" s="49" t="str">
        <f>"    - number: "&amp;$B$4&amp;"-0-"&amp;I266</f>
        <v xml:space="preserve">    - number: 6-0-104</v>
      </c>
      <c r="I266" s="56">
        <f>I256+4</f>
        <v>104</v>
      </c>
    </row>
    <row r="267" spans="1:9" x14ac:dyDescent="0.3">
      <c r="A267" s="54">
        <v>262</v>
      </c>
      <c r="G267" s="49" t="s">
        <v>199</v>
      </c>
      <c r="H267" s="49" t="s">
        <v>198</v>
      </c>
    </row>
    <row r="268" spans="1:9" x14ac:dyDescent="0.3">
      <c r="A268" s="54">
        <v>263</v>
      </c>
      <c r="G268" s="49" t="str">
        <f>"    - number: "&amp;$B$4&amp;"-0-"&amp;I268</f>
        <v xml:space="preserve">    - number: 6-0-105</v>
      </c>
      <c r="H268" s="49" t="str">
        <f>"    - number: "&amp;$B$4&amp;"-0-"&amp;I268</f>
        <v xml:space="preserve">    - number: 6-0-105</v>
      </c>
      <c r="I268" s="56">
        <f>I258+4</f>
        <v>105</v>
      </c>
    </row>
    <row r="269" spans="1:9" x14ac:dyDescent="0.3">
      <c r="A269" s="54">
        <v>264</v>
      </c>
      <c r="G269" s="49" t="s">
        <v>209</v>
      </c>
      <c r="H269" s="49" t="s">
        <v>209</v>
      </c>
    </row>
    <row r="270" spans="1:9" x14ac:dyDescent="0.3">
      <c r="A270" s="54">
        <v>265</v>
      </c>
      <c r="G270" s="49" t="str">
        <f>"    - number: "&amp;$B$4&amp;"-0-"&amp;I270</f>
        <v xml:space="preserve">    - number: 6-0-106</v>
      </c>
      <c r="H270" s="49" t="str">
        <f>"    - number: "&amp;$B$4&amp;"-0-"&amp;I270</f>
        <v xml:space="preserve">    - number: 6-0-106</v>
      </c>
      <c r="I270" s="56">
        <f>I260+4</f>
        <v>106</v>
      </c>
    </row>
    <row r="271" spans="1:9" x14ac:dyDescent="0.3">
      <c r="A271" s="54">
        <v>266</v>
      </c>
      <c r="G271" s="49" t="s">
        <v>210</v>
      </c>
      <c r="H271" s="49" t="s">
        <v>210</v>
      </c>
    </row>
    <row r="272" spans="1:9" x14ac:dyDescent="0.3">
      <c r="A272" s="54">
        <v>267</v>
      </c>
      <c r="G272" s="49" t="str">
        <f>"    - number: "&amp;$B$4&amp;"-0-"&amp;I272</f>
        <v xml:space="preserve">    - number: 6-0-107</v>
      </c>
      <c r="H272" s="49" t="str">
        <f>"    - number: "&amp;$B$4&amp;"-0-"&amp;I272</f>
        <v xml:space="preserve">    - number: 6-0-107</v>
      </c>
      <c r="I272" s="56">
        <f>I262+4</f>
        <v>107</v>
      </c>
    </row>
    <row r="273" spans="1:9" x14ac:dyDescent="0.3">
      <c r="A273" s="54">
        <v>268</v>
      </c>
      <c r="G273" t="str">
        <f ca="1">" l_"&amp;OFFSET(B$6,(A276-1)/10,0)&amp;":"</f>
        <v xml:space="preserve"> l_:</v>
      </c>
      <c r="H273" t="str">
        <f ca="1">" l_"&amp;OFFSET(B$6,(A276-1)/10,0)&amp;":"</f>
        <v xml:space="preserve"> l_:</v>
      </c>
    </row>
    <row r="274" spans="1:9" x14ac:dyDescent="0.3">
      <c r="A274" s="54">
        <v>269</v>
      </c>
      <c r="G274" s="49" t="s">
        <v>195</v>
      </c>
      <c r="H274" s="49" t="s">
        <v>195</v>
      </c>
    </row>
    <row r="275" spans="1:9" x14ac:dyDescent="0.3">
      <c r="A275" s="54">
        <v>270</v>
      </c>
      <c r="G275" s="49" t="s">
        <v>198</v>
      </c>
      <c r="H275" s="49" t="s">
        <v>199</v>
      </c>
    </row>
    <row r="276" spans="1:9" x14ac:dyDescent="0.3">
      <c r="A276" s="54">
        <v>271</v>
      </c>
      <c r="G276" s="49" t="str">
        <f>"    - number: "&amp;$B$4&amp;"-0-"&amp;I276</f>
        <v xml:space="preserve">    - number: 6-0-108</v>
      </c>
      <c r="H276" s="49" t="str">
        <f>"    - number: "&amp;$B$4&amp;"-0-"&amp;I276</f>
        <v xml:space="preserve">    - number: 6-0-108</v>
      </c>
      <c r="I276" s="56">
        <f>I266+4</f>
        <v>108</v>
      </c>
    </row>
    <row r="277" spans="1:9" x14ac:dyDescent="0.3">
      <c r="A277" s="54">
        <v>272</v>
      </c>
      <c r="G277" s="49" t="s">
        <v>199</v>
      </c>
      <c r="H277" s="49" t="s">
        <v>198</v>
      </c>
    </row>
    <row r="278" spans="1:9" x14ac:dyDescent="0.3">
      <c r="A278" s="54">
        <v>273</v>
      </c>
      <c r="G278" s="49" t="str">
        <f>"    - number: "&amp;$B$4&amp;"-0-"&amp;I278</f>
        <v xml:space="preserve">    - number: 6-0-109</v>
      </c>
      <c r="H278" s="49" t="str">
        <f>"    - number: "&amp;$B$4&amp;"-0-"&amp;I278</f>
        <v xml:space="preserve">    - number: 6-0-109</v>
      </c>
      <c r="I278" s="56">
        <f>I268+4</f>
        <v>109</v>
      </c>
    </row>
    <row r="279" spans="1:9" x14ac:dyDescent="0.3">
      <c r="A279" s="54">
        <v>274</v>
      </c>
      <c r="G279" s="49" t="s">
        <v>209</v>
      </c>
      <c r="H279" s="49" t="s">
        <v>209</v>
      </c>
    </row>
    <row r="280" spans="1:9" x14ac:dyDescent="0.3">
      <c r="A280" s="54">
        <v>275</v>
      </c>
      <c r="G280" s="49" t="str">
        <f>"    - number: "&amp;$B$4&amp;"-0-"&amp;I280</f>
        <v xml:space="preserve">    - number: 6-0-110</v>
      </c>
      <c r="H280" s="49" t="str">
        <f>"    - number: "&amp;$B$4&amp;"-0-"&amp;I280</f>
        <v xml:space="preserve">    - number: 6-0-110</v>
      </c>
      <c r="I280" s="56">
        <f>I270+4</f>
        <v>110</v>
      </c>
    </row>
    <row r="281" spans="1:9" x14ac:dyDescent="0.3">
      <c r="A281" s="54">
        <v>276</v>
      </c>
      <c r="G281" s="49" t="s">
        <v>210</v>
      </c>
      <c r="H281" s="49" t="s">
        <v>210</v>
      </c>
    </row>
    <row r="282" spans="1:9" x14ac:dyDescent="0.3">
      <c r="A282" s="54">
        <v>277</v>
      </c>
      <c r="G282" s="49" t="str">
        <f>"    - number: "&amp;$B$4&amp;"-0-"&amp;I282</f>
        <v xml:space="preserve">    - number: 6-0-111</v>
      </c>
      <c r="H282" s="49" t="str">
        <f>"    - number: "&amp;$B$4&amp;"-0-"&amp;I282</f>
        <v xml:space="preserve">    - number: 6-0-111</v>
      </c>
      <c r="I282" s="56">
        <f>I272+4</f>
        <v>111</v>
      </c>
    </row>
    <row r="283" spans="1:9" x14ac:dyDescent="0.3">
      <c r="A283" s="54">
        <v>278</v>
      </c>
      <c r="G283" t="str">
        <f ca="1">" l_"&amp;OFFSET(B$6,(A286-1)/10,0)&amp;":"</f>
        <v xml:space="preserve"> l_:</v>
      </c>
      <c r="H283" t="str">
        <f ca="1">" l_"&amp;OFFSET(B$6,(A286-1)/10,0)&amp;":"</f>
        <v xml:space="preserve"> l_:</v>
      </c>
    </row>
    <row r="284" spans="1:9" x14ac:dyDescent="0.3">
      <c r="A284" s="54">
        <v>279</v>
      </c>
      <c r="G284" s="49" t="s">
        <v>195</v>
      </c>
      <c r="H284" s="49" t="s">
        <v>195</v>
      </c>
    </row>
    <row r="285" spans="1:9" x14ac:dyDescent="0.3">
      <c r="A285" s="54">
        <v>280</v>
      </c>
      <c r="G285" s="49" t="s">
        <v>198</v>
      </c>
      <c r="H285" s="49" t="s">
        <v>199</v>
      </c>
    </row>
    <row r="286" spans="1:9" x14ac:dyDescent="0.3">
      <c r="A286" s="54">
        <v>281</v>
      </c>
      <c r="G286" s="49" t="str">
        <f>"    - number: "&amp;$B$4&amp;"-0-"&amp;I286</f>
        <v xml:space="preserve">    - number: 6-0-112</v>
      </c>
      <c r="H286" s="49" t="str">
        <f>"    - number: "&amp;$B$4&amp;"-0-"&amp;I286</f>
        <v xml:space="preserve">    - number: 6-0-112</v>
      </c>
      <c r="I286" s="56">
        <f>I276+4</f>
        <v>112</v>
      </c>
    </row>
    <row r="287" spans="1:9" x14ac:dyDescent="0.3">
      <c r="A287" s="54">
        <v>282</v>
      </c>
      <c r="G287" s="49" t="s">
        <v>199</v>
      </c>
      <c r="H287" s="49" t="s">
        <v>198</v>
      </c>
    </row>
    <row r="288" spans="1:9" x14ac:dyDescent="0.3">
      <c r="A288" s="54">
        <v>283</v>
      </c>
      <c r="G288" s="49" t="str">
        <f>"    - number: "&amp;$B$4&amp;"-0-"&amp;I288</f>
        <v xml:space="preserve">    - number: 6-0-113</v>
      </c>
      <c r="H288" s="49" t="str">
        <f>"    - number: "&amp;$B$4&amp;"-0-"&amp;I288</f>
        <v xml:space="preserve">    - number: 6-0-113</v>
      </c>
      <c r="I288" s="56">
        <f>I278+4</f>
        <v>113</v>
      </c>
    </row>
    <row r="289" spans="1:9" x14ac:dyDescent="0.3">
      <c r="A289" s="54">
        <v>284</v>
      </c>
      <c r="G289" s="49" t="s">
        <v>209</v>
      </c>
      <c r="H289" s="49" t="s">
        <v>209</v>
      </c>
    </row>
    <row r="290" spans="1:9" x14ac:dyDescent="0.3">
      <c r="A290" s="54">
        <v>285</v>
      </c>
      <c r="G290" s="49" t="str">
        <f>"    - number: "&amp;$B$4&amp;"-0-"&amp;I290</f>
        <v xml:space="preserve">    - number: 6-0-114</v>
      </c>
      <c r="H290" s="49" t="str">
        <f>"    - number: "&amp;$B$4&amp;"-0-"&amp;I290</f>
        <v xml:space="preserve">    - number: 6-0-114</v>
      </c>
      <c r="I290" s="56">
        <f>I280+4</f>
        <v>114</v>
      </c>
    </row>
    <row r="291" spans="1:9" x14ac:dyDescent="0.3">
      <c r="A291" s="54">
        <v>286</v>
      </c>
      <c r="G291" s="49" t="s">
        <v>210</v>
      </c>
      <c r="H291" s="49" t="s">
        <v>210</v>
      </c>
    </row>
    <row r="292" spans="1:9" x14ac:dyDescent="0.3">
      <c r="A292" s="54">
        <v>287</v>
      </c>
      <c r="G292" s="49" t="str">
        <f>"    - number: "&amp;$B$4&amp;"-0-"&amp;I292</f>
        <v xml:space="preserve">    - number: 6-0-115</v>
      </c>
      <c r="H292" s="49" t="str">
        <f>"    - number: "&amp;$B$4&amp;"-0-"&amp;I292</f>
        <v xml:space="preserve">    - number: 6-0-115</v>
      </c>
      <c r="I292" s="56">
        <f>I282+4</f>
        <v>115</v>
      </c>
    </row>
    <row r="293" spans="1:9" x14ac:dyDescent="0.3">
      <c r="A293" s="54">
        <v>288</v>
      </c>
      <c r="G293" t="str">
        <f ca="1">" l_"&amp;OFFSET(B$6,(A296-1)/10,0)&amp;":"</f>
        <v xml:space="preserve"> l_:</v>
      </c>
      <c r="H293" t="str">
        <f ca="1">" l_"&amp;OFFSET(B$6,(A296-1)/10,0)&amp;":"</f>
        <v xml:space="preserve"> l_:</v>
      </c>
    </row>
    <row r="294" spans="1:9" x14ac:dyDescent="0.3">
      <c r="A294" s="54">
        <v>289</v>
      </c>
      <c r="G294" s="49" t="s">
        <v>195</v>
      </c>
      <c r="H294" s="49" t="s">
        <v>195</v>
      </c>
    </row>
    <row r="295" spans="1:9" x14ac:dyDescent="0.3">
      <c r="A295" s="54">
        <v>290</v>
      </c>
      <c r="G295" s="49" t="s">
        <v>198</v>
      </c>
      <c r="H295" s="49" t="s">
        <v>199</v>
      </c>
    </row>
    <row r="296" spans="1:9" x14ac:dyDescent="0.3">
      <c r="A296" s="54">
        <v>291</v>
      </c>
      <c r="G296" s="49" t="str">
        <f>"    - number: "&amp;$B$4&amp;"-0-"&amp;I296</f>
        <v xml:space="preserve">    - number: 6-0-116</v>
      </c>
      <c r="H296" s="49" t="str">
        <f>"    - number: "&amp;$B$4&amp;"-0-"&amp;I296</f>
        <v xml:space="preserve">    - number: 6-0-116</v>
      </c>
      <c r="I296" s="56">
        <f>I286+4</f>
        <v>116</v>
      </c>
    </row>
    <row r="297" spans="1:9" x14ac:dyDescent="0.3">
      <c r="A297" s="54">
        <v>292</v>
      </c>
      <c r="G297" s="49" t="s">
        <v>199</v>
      </c>
      <c r="H297" s="49" t="s">
        <v>198</v>
      </c>
    </row>
    <row r="298" spans="1:9" x14ac:dyDescent="0.3">
      <c r="A298" s="54">
        <v>293</v>
      </c>
      <c r="G298" s="49" t="str">
        <f>"    - number: "&amp;$B$4&amp;"-0-"&amp;I298</f>
        <v xml:space="preserve">    - number: 6-0-117</v>
      </c>
      <c r="H298" s="49" t="str">
        <f>"    - number: "&amp;$B$4&amp;"-0-"&amp;I298</f>
        <v xml:space="preserve">    - number: 6-0-117</v>
      </c>
      <c r="I298" s="56">
        <f>I288+4</f>
        <v>117</v>
      </c>
    </row>
    <row r="299" spans="1:9" x14ac:dyDescent="0.3">
      <c r="A299" s="54">
        <v>294</v>
      </c>
      <c r="G299" s="49" t="s">
        <v>209</v>
      </c>
      <c r="H299" s="49" t="s">
        <v>209</v>
      </c>
    </row>
    <row r="300" spans="1:9" x14ac:dyDescent="0.3">
      <c r="A300" s="54">
        <v>295</v>
      </c>
      <c r="G300" s="49" t="str">
        <f>"    - number: "&amp;$B$4&amp;"-0-"&amp;I300</f>
        <v xml:space="preserve">    - number: 6-0-118</v>
      </c>
      <c r="H300" s="49" t="str">
        <f>"    - number: "&amp;$B$4&amp;"-0-"&amp;I300</f>
        <v xml:space="preserve">    - number: 6-0-118</v>
      </c>
      <c r="I300" s="56">
        <f>I290+4</f>
        <v>118</v>
      </c>
    </row>
    <row r="301" spans="1:9" x14ac:dyDescent="0.3">
      <c r="A301" s="54">
        <v>296</v>
      </c>
      <c r="G301" s="49" t="s">
        <v>210</v>
      </c>
      <c r="H301" s="49" t="s">
        <v>210</v>
      </c>
    </row>
    <row r="302" spans="1:9" x14ac:dyDescent="0.3">
      <c r="A302" s="54">
        <v>297</v>
      </c>
      <c r="G302" s="49" t="str">
        <f>"    - number: "&amp;$B$4&amp;"-0-"&amp;I302</f>
        <v xml:space="preserve">    - number: 6-0-119</v>
      </c>
      <c r="H302" s="49" t="str">
        <f>"    - number: "&amp;$B$4&amp;"-0-"&amp;I302</f>
        <v xml:space="preserve">    - number: 6-0-119</v>
      </c>
      <c r="I302" s="56">
        <f>I292+4</f>
        <v>119</v>
      </c>
    </row>
    <row r="303" spans="1:9" x14ac:dyDescent="0.3">
      <c r="A303" s="54">
        <v>298</v>
      </c>
      <c r="G303" t="str">
        <f ca="1">" l_"&amp;OFFSET(B$6,(A306-1)/10,0)&amp;":"</f>
        <v xml:space="preserve"> l_:</v>
      </c>
      <c r="H303" t="str">
        <f ca="1">" l_"&amp;OFFSET(B$6,(A306-1)/10,0)&amp;":"</f>
        <v xml:space="preserve"> l_:</v>
      </c>
    </row>
    <row r="304" spans="1:9" x14ac:dyDescent="0.3">
      <c r="A304" s="54">
        <v>299</v>
      </c>
      <c r="G304" s="49" t="s">
        <v>195</v>
      </c>
      <c r="H304" s="49" t="s">
        <v>195</v>
      </c>
    </row>
    <row r="305" spans="1:9" x14ac:dyDescent="0.3">
      <c r="A305" s="54">
        <v>300</v>
      </c>
      <c r="G305" s="49" t="s">
        <v>198</v>
      </c>
      <c r="H305" s="49" t="s">
        <v>199</v>
      </c>
    </row>
    <row r="306" spans="1:9" x14ac:dyDescent="0.3">
      <c r="A306" s="54">
        <v>301</v>
      </c>
      <c r="G306" s="49" t="str">
        <f>"    - number: "&amp;$B$4&amp;"-0-"&amp;I306</f>
        <v xml:space="preserve">    - number: 6-0-120</v>
      </c>
      <c r="H306" s="49" t="str">
        <f>"    - number: "&amp;$B$4&amp;"-0-"&amp;I306</f>
        <v xml:space="preserve">    - number: 6-0-120</v>
      </c>
      <c r="I306" s="56">
        <f>I296+4</f>
        <v>120</v>
      </c>
    </row>
    <row r="307" spans="1:9" x14ac:dyDescent="0.3">
      <c r="A307" s="54">
        <v>302</v>
      </c>
      <c r="G307" s="49" t="s">
        <v>199</v>
      </c>
      <c r="H307" s="49" t="s">
        <v>198</v>
      </c>
    </row>
    <row r="308" spans="1:9" x14ac:dyDescent="0.3">
      <c r="A308" s="54">
        <v>303</v>
      </c>
      <c r="G308" s="49" t="str">
        <f>"    - number: "&amp;$B$4&amp;"-0-"&amp;I308</f>
        <v xml:space="preserve">    - number: 6-0-121</v>
      </c>
      <c r="H308" s="49" t="str">
        <f>"    - number: "&amp;$B$4&amp;"-0-"&amp;I308</f>
        <v xml:space="preserve">    - number: 6-0-121</v>
      </c>
      <c r="I308" s="56">
        <f>I298+4</f>
        <v>121</v>
      </c>
    </row>
    <row r="309" spans="1:9" x14ac:dyDescent="0.3">
      <c r="A309" s="54">
        <v>304</v>
      </c>
      <c r="G309" s="49" t="s">
        <v>209</v>
      </c>
      <c r="H309" s="49" t="s">
        <v>209</v>
      </c>
    </row>
    <row r="310" spans="1:9" x14ac:dyDescent="0.3">
      <c r="A310" s="54">
        <v>305</v>
      </c>
      <c r="G310" s="49" t="str">
        <f>"    - number: "&amp;$B$4&amp;"-0-"&amp;I310</f>
        <v xml:space="preserve">    - number: 6-0-122</v>
      </c>
      <c r="H310" s="49" t="str">
        <f>"    - number: "&amp;$B$4&amp;"-0-"&amp;I310</f>
        <v xml:space="preserve">    - number: 6-0-122</v>
      </c>
      <c r="I310" s="56">
        <f>I300+4</f>
        <v>122</v>
      </c>
    </row>
    <row r="311" spans="1:9" x14ac:dyDescent="0.3">
      <c r="A311" s="54">
        <v>306</v>
      </c>
      <c r="G311" s="49" t="s">
        <v>210</v>
      </c>
      <c r="H311" s="49" t="s">
        <v>210</v>
      </c>
    </row>
    <row r="312" spans="1:9" x14ac:dyDescent="0.3">
      <c r="A312" s="54">
        <v>307</v>
      </c>
      <c r="G312" s="49" t="str">
        <f>"    - number: "&amp;$B$4&amp;"-0-"&amp;I312</f>
        <v xml:space="preserve">    - number: 6-0-123</v>
      </c>
      <c r="H312" s="49" t="str">
        <f>"    - number: "&amp;$B$4&amp;"-0-"&amp;I312</f>
        <v xml:space="preserve">    - number: 6-0-123</v>
      </c>
      <c r="I312" s="56">
        <f>I302+4</f>
        <v>123</v>
      </c>
    </row>
    <row r="313" spans="1:9" x14ac:dyDescent="0.3">
      <c r="A313" s="54">
        <v>308</v>
      </c>
      <c r="G313" t="str">
        <f ca="1">" l_"&amp;OFFSET(B$6,(A316-1)/10,0)&amp;":"</f>
        <v xml:space="preserve"> l_:</v>
      </c>
      <c r="H313" t="str">
        <f ca="1">" l_"&amp;OFFSET(B$6,(A316-1)/10,0)&amp;":"</f>
        <v xml:space="preserve"> l_:</v>
      </c>
    </row>
    <row r="314" spans="1:9" x14ac:dyDescent="0.3">
      <c r="A314" s="54">
        <v>309</v>
      </c>
      <c r="G314" s="49" t="s">
        <v>195</v>
      </c>
      <c r="H314" s="49" t="s">
        <v>195</v>
      </c>
    </row>
    <row r="315" spans="1:9" x14ac:dyDescent="0.3">
      <c r="A315" s="54">
        <v>310</v>
      </c>
      <c r="G315" s="49" t="s">
        <v>198</v>
      </c>
      <c r="H315" s="49" t="s">
        <v>199</v>
      </c>
    </row>
    <row r="316" spans="1:9" x14ac:dyDescent="0.3">
      <c r="A316" s="54">
        <v>311</v>
      </c>
      <c r="G316" s="49" t="str">
        <f>"    - number: "&amp;$B$4&amp;"-0-"&amp;I316</f>
        <v xml:space="preserve">    - number: 6-0-124</v>
      </c>
      <c r="H316" s="49" t="str">
        <f>"    - number: "&amp;$B$4&amp;"-0-"&amp;I316</f>
        <v xml:space="preserve">    - number: 6-0-124</v>
      </c>
      <c r="I316" s="56">
        <f>I306+4</f>
        <v>124</v>
      </c>
    </row>
    <row r="317" spans="1:9" x14ac:dyDescent="0.3">
      <c r="A317" s="54">
        <v>312</v>
      </c>
      <c r="G317" s="49" t="s">
        <v>199</v>
      </c>
      <c r="H317" s="49" t="s">
        <v>198</v>
      </c>
    </row>
    <row r="318" spans="1:9" x14ac:dyDescent="0.3">
      <c r="A318" s="54">
        <v>313</v>
      </c>
      <c r="G318" s="49" t="str">
        <f>"    - number: "&amp;$B$4&amp;"-0-"&amp;I318</f>
        <v xml:space="preserve">    - number: 6-0-125</v>
      </c>
      <c r="H318" s="49" t="str">
        <f>"    - number: "&amp;$B$4&amp;"-0-"&amp;I318</f>
        <v xml:space="preserve">    - number: 6-0-125</v>
      </c>
      <c r="I318" s="56">
        <f>I308+4</f>
        <v>125</v>
      </c>
    </row>
    <row r="319" spans="1:9" x14ac:dyDescent="0.3">
      <c r="A319" s="54">
        <v>314</v>
      </c>
      <c r="G319" s="49" t="s">
        <v>209</v>
      </c>
      <c r="H319" s="49" t="s">
        <v>209</v>
      </c>
    </row>
    <row r="320" spans="1:9" x14ac:dyDescent="0.3">
      <c r="A320" s="54">
        <v>315</v>
      </c>
      <c r="G320" s="49" t="str">
        <f>"    - number: "&amp;$B$4&amp;"-0-"&amp;I320</f>
        <v xml:space="preserve">    - number: 6-0-126</v>
      </c>
      <c r="H320" s="49" t="str">
        <f>"    - number: "&amp;$B$4&amp;"-0-"&amp;I320</f>
        <v xml:space="preserve">    - number: 6-0-126</v>
      </c>
      <c r="I320" s="56">
        <f>I310+4</f>
        <v>126</v>
      </c>
    </row>
    <row r="321" spans="1:9" x14ac:dyDescent="0.3">
      <c r="A321" s="54">
        <v>316</v>
      </c>
      <c r="G321" s="49" t="s">
        <v>210</v>
      </c>
      <c r="H321" s="49" t="s">
        <v>210</v>
      </c>
    </row>
    <row r="322" spans="1:9" x14ac:dyDescent="0.3">
      <c r="A322" s="54">
        <v>317</v>
      </c>
      <c r="G322" s="49" t="str">
        <f>"    - number: "&amp;$B$4&amp;"-0-"&amp;I322</f>
        <v xml:space="preserve">    - number: 6-0-127</v>
      </c>
      <c r="H322" s="49" t="str">
        <f>"    - number: "&amp;$B$4&amp;"-0-"&amp;I322</f>
        <v xml:space="preserve">    - number: 6-0-127</v>
      </c>
      <c r="I322" s="56">
        <f>I312+4</f>
        <v>127</v>
      </c>
    </row>
    <row r="323" spans="1:9" x14ac:dyDescent="0.3">
      <c r="A323" s="54">
        <v>318</v>
      </c>
      <c r="G323" t="str">
        <f ca="1">" l_"&amp;OFFSET(B$6,(A326-1)/10,0)&amp;":"</f>
        <v xml:space="preserve"> l_:</v>
      </c>
      <c r="H323" t="str">
        <f ca="1">" l_"&amp;OFFSET(B$6,(A326-1)/10,0)&amp;":"</f>
        <v xml:space="preserve"> l_:</v>
      </c>
    </row>
    <row r="324" spans="1:9" x14ac:dyDescent="0.3">
      <c r="A324" s="54">
        <v>319</v>
      </c>
      <c r="G324" s="49" t="s">
        <v>195</v>
      </c>
      <c r="H324" s="49" t="s">
        <v>195</v>
      </c>
    </row>
    <row r="325" spans="1:9" x14ac:dyDescent="0.3">
      <c r="A325" s="54">
        <v>320</v>
      </c>
      <c r="G325" s="49" t="s">
        <v>198</v>
      </c>
      <c r="H325" s="49" t="s">
        <v>199</v>
      </c>
    </row>
    <row r="326" spans="1:9" x14ac:dyDescent="0.3">
      <c r="A326" s="54">
        <v>321</v>
      </c>
      <c r="G326" s="49" t="str">
        <f>"    - number: "&amp;$B$4&amp;"-0-"&amp;I326</f>
        <v xml:space="preserve">    - number: 6-0-128</v>
      </c>
      <c r="H326" s="49" t="str">
        <f>"    - number: "&amp;$B$4&amp;"-0-"&amp;I326</f>
        <v xml:space="preserve">    - number: 6-0-128</v>
      </c>
      <c r="I326" s="56">
        <f>I316+4</f>
        <v>128</v>
      </c>
    </row>
    <row r="327" spans="1:9" x14ac:dyDescent="0.3">
      <c r="A327" s="54">
        <v>322</v>
      </c>
      <c r="G327" s="49" t="s">
        <v>199</v>
      </c>
      <c r="H327" s="49" t="s">
        <v>198</v>
      </c>
    </row>
    <row r="328" spans="1:9" x14ac:dyDescent="0.3">
      <c r="A328" s="54">
        <v>323</v>
      </c>
      <c r="G328" s="49" t="str">
        <f>"    - number: "&amp;$B$4&amp;"-0-"&amp;I328</f>
        <v xml:space="preserve">    - number: 6-0-129</v>
      </c>
      <c r="H328" s="49" t="str">
        <f>"    - number: "&amp;$B$4&amp;"-0-"&amp;I328</f>
        <v xml:space="preserve">    - number: 6-0-129</v>
      </c>
      <c r="I328" s="56">
        <f>I318+4</f>
        <v>129</v>
      </c>
    </row>
    <row r="329" spans="1:9" x14ac:dyDescent="0.3">
      <c r="A329" s="54">
        <v>324</v>
      </c>
      <c r="G329" s="49" t="s">
        <v>209</v>
      </c>
      <c r="H329" s="49" t="s">
        <v>209</v>
      </c>
    </row>
    <row r="330" spans="1:9" x14ac:dyDescent="0.3">
      <c r="A330" s="54">
        <v>325</v>
      </c>
      <c r="G330" s="49" t="str">
        <f>"    - number: "&amp;$B$4&amp;"-0-"&amp;I330</f>
        <v xml:space="preserve">    - number: 6-0-130</v>
      </c>
      <c r="H330" s="49" t="str">
        <f>"    - number: "&amp;$B$4&amp;"-0-"&amp;I330</f>
        <v xml:space="preserve">    - number: 6-0-130</v>
      </c>
      <c r="I330" s="56">
        <f>I320+4</f>
        <v>130</v>
      </c>
    </row>
    <row r="331" spans="1:9" x14ac:dyDescent="0.3">
      <c r="A331" s="54">
        <v>326</v>
      </c>
      <c r="G331" s="49" t="s">
        <v>210</v>
      </c>
      <c r="H331" s="49" t="s">
        <v>210</v>
      </c>
    </row>
    <row r="332" spans="1:9" x14ac:dyDescent="0.3">
      <c r="A332" s="54">
        <v>327</v>
      </c>
      <c r="G332" s="49" t="str">
        <f>"    - number: "&amp;$B$4&amp;"-0-"&amp;I332</f>
        <v xml:space="preserve">    - number: 6-0-131</v>
      </c>
      <c r="H332" s="49" t="str">
        <f>"    - number: "&amp;$B$4&amp;"-0-"&amp;I332</f>
        <v xml:space="preserve">    - number: 6-0-131</v>
      </c>
      <c r="I332" s="56">
        <f>I322+4</f>
        <v>131</v>
      </c>
    </row>
    <row r="333" spans="1:9" x14ac:dyDescent="0.3">
      <c r="A333" s="54">
        <v>328</v>
      </c>
      <c r="G333" t="str">
        <f ca="1">" l_"&amp;OFFSET(B$6,(A336-1)/10,0)&amp;":"</f>
        <v xml:space="preserve"> l_:</v>
      </c>
      <c r="H333" t="str">
        <f ca="1">" l_"&amp;OFFSET(B$6,(A336-1)/10,0)&amp;":"</f>
        <v xml:space="preserve"> l_:</v>
      </c>
    </row>
    <row r="334" spans="1:9" x14ac:dyDescent="0.3">
      <c r="A334" s="54">
        <v>329</v>
      </c>
      <c r="G334" s="49" t="s">
        <v>195</v>
      </c>
      <c r="H334" s="49" t="s">
        <v>195</v>
      </c>
    </row>
    <row r="335" spans="1:9" x14ac:dyDescent="0.3">
      <c r="A335" s="54">
        <v>330</v>
      </c>
      <c r="G335" s="49" t="s">
        <v>198</v>
      </c>
      <c r="H335" s="49" t="s">
        <v>199</v>
      </c>
    </row>
    <row r="336" spans="1:9" x14ac:dyDescent="0.3">
      <c r="A336" s="54">
        <v>331</v>
      </c>
      <c r="G336" s="49" t="str">
        <f>"    - number: "&amp;$B$4&amp;"-0-"&amp;I336</f>
        <v xml:space="preserve">    - number: 6-0-132</v>
      </c>
      <c r="H336" s="49" t="str">
        <f>"    - number: "&amp;$B$4&amp;"-0-"&amp;I336</f>
        <v xml:space="preserve">    - number: 6-0-132</v>
      </c>
      <c r="I336" s="56">
        <f>I326+4</f>
        <v>132</v>
      </c>
    </row>
    <row r="337" spans="1:9" x14ac:dyDescent="0.3">
      <c r="A337" s="54">
        <v>332</v>
      </c>
      <c r="G337" s="49" t="s">
        <v>199</v>
      </c>
      <c r="H337" s="49" t="s">
        <v>198</v>
      </c>
    </row>
    <row r="338" spans="1:9" x14ac:dyDescent="0.3">
      <c r="A338" s="54">
        <v>333</v>
      </c>
      <c r="G338" s="49" t="str">
        <f>"    - number: "&amp;$B$4&amp;"-0-"&amp;I338</f>
        <v xml:space="preserve">    - number: 6-0-133</v>
      </c>
      <c r="H338" s="49" t="str">
        <f>"    - number: "&amp;$B$4&amp;"-0-"&amp;I338</f>
        <v xml:space="preserve">    - number: 6-0-133</v>
      </c>
      <c r="I338" s="56">
        <f>I328+4</f>
        <v>133</v>
      </c>
    </row>
    <row r="339" spans="1:9" x14ac:dyDescent="0.3">
      <c r="A339" s="54">
        <v>334</v>
      </c>
      <c r="G339" s="49" t="s">
        <v>209</v>
      </c>
      <c r="H339" s="49" t="s">
        <v>209</v>
      </c>
    </row>
    <row r="340" spans="1:9" x14ac:dyDescent="0.3">
      <c r="A340" s="54">
        <v>335</v>
      </c>
      <c r="G340" s="49" t="str">
        <f>"    - number: "&amp;$B$4&amp;"-0-"&amp;I340</f>
        <v xml:space="preserve">    - number: 6-0-134</v>
      </c>
      <c r="H340" s="49" t="str">
        <f>"    - number: "&amp;$B$4&amp;"-0-"&amp;I340</f>
        <v xml:space="preserve">    - number: 6-0-134</v>
      </c>
      <c r="I340" s="56">
        <f>I330+4</f>
        <v>134</v>
      </c>
    </row>
    <row r="341" spans="1:9" x14ac:dyDescent="0.3">
      <c r="A341" s="54">
        <v>336</v>
      </c>
      <c r="G341" s="49" t="s">
        <v>210</v>
      </c>
      <c r="H341" s="49" t="s">
        <v>210</v>
      </c>
    </row>
    <row r="342" spans="1:9" x14ac:dyDescent="0.3">
      <c r="A342" s="54">
        <v>337</v>
      </c>
      <c r="G342" s="49" t="str">
        <f>"    - number: "&amp;$B$4&amp;"-0-"&amp;I342</f>
        <v xml:space="preserve">    - number: 6-0-135</v>
      </c>
      <c r="H342" s="49" t="str">
        <f>"    - number: "&amp;$B$4&amp;"-0-"&amp;I342</f>
        <v xml:space="preserve">    - number: 6-0-135</v>
      </c>
      <c r="I342" s="56">
        <f>I332+4</f>
        <v>135</v>
      </c>
    </row>
    <row r="343" spans="1:9" x14ac:dyDescent="0.3">
      <c r="A343" s="54">
        <v>338</v>
      </c>
      <c r="G343" t="str">
        <f ca="1">" l_"&amp;OFFSET(B$6,(A346-1)/10,0)&amp;":"</f>
        <v xml:space="preserve"> l_:</v>
      </c>
      <c r="H343" t="str">
        <f ca="1">" l_"&amp;OFFSET(B$6,(A346-1)/10,0)&amp;":"</f>
        <v xml:space="preserve"> l_:</v>
      </c>
    </row>
    <row r="344" spans="1:9" x14ac:dyDescent="0.3">
      <c r="A344" s="54">
        <v>339</v>
      </c>
      <c r="G344" s="49" t="s">
        <v>195</v>
      </c>
      <c r="H344" s="49" t="s">
        <v>195</v>
      </c>
    </row>
    <row r="345" spans="1:9" x14ac:dyDescent="0.3">
      <c r="A345" s="54">
        <v>340</v>
      </c>
      <c r="G345" s="49" t="s">
        <v>198</v>
      </c>
      <c r="H345" s="49" t="s">
        <v>199</v>
      </c>
    </row>
    <row r="346" spans="1:9" x14ac:dyDescent="0.3">
      <c r="A346" s="54">
        <v>341</v>
      </c>
      <c r="G346" s="49" t="str">
        <f>"    - number: "&amp;$B$4&amp;"-0-"&amp;I346</f>
        <v xml:space="preserve">    - number: 6-0-136</v>
      </c>
      <c r="H346" s="49" t="str">
        <f>"    - number: "&amp;$B$4&amp;"-0-"&amp;I346</f>
        <v xml:space="preserve">    - number: 6-0-136</v>
      </c>
      <c r="I346" s="56">
        <f>I336+4</f>
        <v>136</v>
      </c>
    </row>
    <row r="347" spans="1:9" x14ac:dyDescent="0.3">
      <c r="A347" s="54">
        <v>342</v>
      </c>
      <c r="G347" s="49" t="s">
        <v>199</v>
      </c>
      <c r="H347" s="49" t="s">
        <v>198</v>
      </c>
    </row>
    <row r="348" spans="1:9" x14ac:dyDescent="0.3">
      <c r="A348" s="54">
        <v>343</v>
      </c>
      <c r="G348" s="49" t="str">
        <f>"    - number: "&amp;$B$4&amp;"-0-"&amp;I348</f>
        <v xml:space="preserve">    - number: 6-0-137</v>
      </c>
      <c r="H348" s="49" t="str">
        <f>"    - number: "&amp;$B$4&amp;"-0-"&amp;I348</f>
        <v xml:space="preserve">    - number: 6-0-137</v>
      </c>
      <c r="I348" s="56">
        <f>I338+4</f>
        <v>137</v>
      </c>
    </row>
    <row r="349" spans="1:9" x14ac:dyDescent="0.3">
      <c r="A349" s="54">
        <v>344</v>
      </c>
      <c r="G349" s="49" t="s">
        <v>209</v>
      </c>
      <c r="H349" s="49" t="s">
        <v>209</v>
      </c>
    </row>
    <row r="350" spans="1:9" x14ac:dyDescent="0.3">
      <c r="A350" s="54">
        <v>345</v>
      </c>
      <c r="G350" s="49" t="str">
        <f>"    - number: "&amp;$B$4&amp;"-0-"&amp;I350</f>
        <v xml:space="preserve">    - number: 6-0-138</v>
      </c>
      <c r="H350" s="49" t="str">
        <f>"    - number: "&amp;$B$4&amp;"-0-"&amp;I350</f>
        <v xml:space="preserve">    - number: 6-0-138</v>
      </c>
      <c r="I350" s="56">
        <f>I340+4</f>
        <v>138</v>
      </c>
    </row>
    <row r="351" spans="1:9" x14ac:dyDescent="0.3">
      <c r="A351" s="54">
        <v>346</v>
      </c>
      <c r="G351" s="49" t="s">
        <v>210</v>
      </c>
      <c r="H351" s="49" t="s">
        <v>210</v>
      </c>
    </row>
    <row r="352" spans="1:9" x14ac:dyDescent="0.3">
      <c r="A352" s="54">
        <v>347</v>
      </c>
      <c r="G352" s="49" t="str">
        <f>"    - number: "&amp;$B$4&amp;"-0-"&amp;I352</f>
        <v xml:space="preserve">    - number: 6-0-139</v>
      </c>
      <c r="H352" s="49" t="str">
        <f>"    - number: "&amp;$B$4&amp;"-0-"&amp;I352</f>
        <v xml:space="preserve">    - number: 6-0-139</v>
      </c>
      <c r="I352" s="56">
        <f>I342+4</f>
        <v>139</v>
      </c>
    </row>
    <row r="353" spans="1:9" x14ac:dyDescent="0.3">
      <c r="A353" s="54">
        <v>348</v>
      </c>
      <c r="G353" t="str">
        <f ca="1">" l_"&amp;OFFSET(B$6,(A356-1)/10,0)&amp;":"</f>
        <v xml:space="preserve"> l_:</v>
      </c>
      <c r="H353" t="str">
        <f ca="1">" l_"&amp;OFFSET(B$6,(A356-1)/10,0)&amp;":"</f>
        <v xml:space="preserve"> l_:</v>
      </c>
    </row>
    <row r="354" spans="1:9" x14ac:dyDescent="0.3">
      <c r="A354" s="54">
        <v>349</v>
      </c>
      <c r="G354" s="49" t="s">
        <v>195</v>
      </c>
      <c r="H354" s="49" t="s">
        <v>195</v>
      </c>
    </row>
    <row r="355" spans="1:9" x14ac:dyDescent="0.3">
      <c r="A355" s="54">
        <v>350</v>
      </c>
      <c r="G355" s="49" t="s">
        <v>198</v>
      </c>
      <c r="H355" s="49" t="s">
        <v>199</v>
      </c>
    </row>
    <row r="356" spans="1:9" x14ac:dyDescent="0.3">
      <c r="A356" s="54">
        <v>351</v>
      </c>
      <c r="G356" s="49" t="str">
        <f>"    - number: "&amp;$B$4&amp;"-0-"&amp;I356</f>
        <v xml:space="preserve">    - number: 6-0-140</v>
      </c>
      <c r="H356" s="49" t="str">
        <f>"    - number: "&amp;$B$4&amp;"-0-"&amp;I356</f>
        <v xml:space="preserve">    - number: 6-0-140</v>
      </c>
      <c r="I356" s="56">
        <f>I346+4</f>
        <v>140</v>
      </c>
    </row>
    <row r="357" spans="1:9" x14ac:dyDescent="0.3">
      <c r="A357" s="54">
        <v>352</v>
      </c>
      <c r="G357" s="49" t="s">
        <v>199</v>
      </c>
      <c r="H357" s="49" t="s">
        <v>198</v>
      </c>
    </row>
    <row r="358" spans="1:9" x14ac:dyDescent="0.3">
      <c r="A358" s="54">
        <v>353</v>
      </c>
      <c r="G358" s="49" t="str">
        <f>"    - number: "&amp;$B$4&amp;"-0-"&amp;I358</f>
        <v xml:space="preserve">    - number: 6-0-141</v>
      </c>
      <c r="H358" s="49" t="str">
        <f>"    - number: "&amp;$B$4&amp;"-0-"&amp;I358</f>
        <v xml:space="preserve">    - number: 6-0-141</v>
      </c>
      <c r="I358" s="56">
        <f>I348+4</f>
        <v>141</v>
      </c>
    </row>
    <row r="359" spans="1:9" x14ac:dyDescent="0.3">
      <c r="A359" s="54">
        <v>354</v>
      </c>
      <c r="G359" s="49" t="s">
        <v>209</v>
      </c>
      <c r="H359" s="49" t="s">
        <v>209</v>
      </c>
    </row>
    <row r="360" spans="1:9" x14ac:dyDescent="0.3">
      <c r="A360" s="54">
        <v>355</v>
      </c>
      <c r="G360" s="49" t="str">
        <f>"    - number: "&amp;$B$4&amp;"-0-"&amp;I360</f>
        <v xml:space="preserve">    - number: 6-0-142</v>
      </c>
      <c r="H360" s="49" t="str">
        <f>"    - number: "&amp;$B$4&amp;"-0-"&amp;I360</f>
        <v xml:space="preserve">    - number: 6-0-142</v>
      </c>
      <c r="I360" s="56">
        <f>I350+4</f>
        <v>142</v>
      </c>
    </row>
    <row r="361" spans="1:9" x14ac:dyDescent="0.3">
      <c r="A361" s="54">
        <v>356</v>
      </c>
      <c r="G361" s="49" t="s">
        <v>210</v>
      </c>
      <c r="H361" s="49" t="s">
        <v>210</v>
      </c>
    </row>
    <row r="362" spans="1:9" x14ac:dyDescent="0.3">
      <c r="A362" s="54">
        <v>357</v>
      </c>
      <c r="G362" s="49" t="str">
        <f>"    - number: "&amp;$B$4&amp;"-0-"&amp;I362</f>
        <v xml:space="preserve">    - number: 6-0-143</v>
      </c>
      <c r="H362" s="49" t="str">
        <f>"    - number: "&amp;$B$4&amp;"-0-"&amp;I362</f>
        <v xml:space="preserve">    - number: 6-0-143</v>
      </c>
      <c r="I362" s="56">
        <f>I352+4</f>
        <v>143</v>
      </c>
    </row>
    <row r="363" spans="1:9" x14ac:dyDescent="0.3">
      <c r="A363" s="54">
        <v>358</v>
      </c>
      <c r="G363" t="str">
        <f ca="1">" l_"&amp;OFFSET(B$6,(A366-1)/10,0)&amp;":"</f>
        <v xml:space="preserve"> l_:</v>
      </c>
      <c r="H363" t="str">
        <f ca="1">" l_"&amp;OFFSET(B$6,(A366-1)/10,0)&amp;":"</f>
        <v xml:space="preserve"> l_:</v>
      </c>
    </row>
    <row r="364" spans="1:9" x14ac:dyDescent="0.3">
      <c r="A364" s="54">
        <v>359</v>
      </c>
      <c r="G364" s="49" t="s">
        <v>195</v>
      </c>
      <c r="H364" s="49" t="s">
        <v>195</v>
      </c>
    </row>
    <row r="365" spans="1:9" x14ac:dyDescent="0.3">
      <c r="A365" s="54">
        <v>360</v>
      </c>
      <c r="G365" s="49" t="s">
        <v>198</v>
      </c>
      <c r="H365" s="49" t="s">
        <v>199</v>
      </c>
    </row>
    <row r="366" spans="1:9" x14ac:dyDescent="0.3">
      <c r="A366" s="54">
        <v>361</v>
      </c>
      <c r="G366" s="49" t="str">
        <f>"    - number: "&amp;$B$4&amp;"-0-"&amp;I366</f>
        <v xml:space="preserve">    - number: 6-0-144</v>
      </c>
      <c r="H366" s="49" t="str">
        <f>"    - number: "&amp;$B$4&amp;"-0-"&amp;I366</f>
        <v xml:space="preserve">    - number: 6-0-144</v>
      </c>
      <c r="I366" s="56">
        <f>I356+4</f>
        <v>144</v>
      </c>
    </row>
    <row r="367" spans="1:9" x14ac:dyDescent="0.3">
      <c r="A367" s="54">
        <v>362</v>
      </c>
      <c r="G367" s="49" t="s">
        <v>199</v>
      </c>
      <c r="H367" s="49" t="s">
        <v>198</v>
      </c>
    </row>
    <row r="368" spans="1:9" x14ac:dyDescent="0.3">
      <c r="A368" s="54">
        <v>363</v>
      </c>
      <c r="G368" s="49" t="str">
        <f>"    - number: "&amp;$B$4&amp;"-0-"&amp;I368</f>
        <v xml:space="preserve">    - number: 6-0-145</v>
      </c>
      <c r="H368" s="49" t="str">
        <f>"    - number: "&amp;$B$4&amp;"-0-"&amp;I368</f>
        <v xml:space="preserve">    - number: 6-0-145</v>
      </c>
      <c r="I368" s="56">
        <f>I358+4</f>
        <v>145</v>
      </c>
    </row>
    <row r="369" spans="1:9" x14ac:dyDescent="0.3">
      <c r="A369" s="54">
        <v>364</v>
      </c>
      <c r="G369" s="49" t="s">
        <v>209</v>
      </c>
      <c r="H369" s="49" t="s">
        <v>209</v>
      </c>
    </row>
    <row r="370" spans="1:9" x14ac:dyDescent="0.3">
      <c r="A370" s="54">
        <v>365</v>
      </c>
      <c r="G370" s="49" t="str">
        <f>"    - number: "&amp;$B$4&amp;"-0-"&amp;I370</f>
        <v xml:space="preserve">    - number: 6-0-146</v>
      </c>
      <c r="H370" s="49" t="str">
        <f>"    - number: "&amp;$B$4&amp;"-0-"&amp;I370</f>
        <v xml:space="preserve">    - number: 6-0-146</v>
      </c>
      <c r="I370" s="56">
        <f>I360+4</f>
        <v>146</v>
      </c>
    </row>
    <row r="371" spans="1:9" x14ac:dyDescent="0.3">
      <c r="A371" s="54">
        <v>366</v>
      </c>
      <c r="G371" s="49" t="s">
        <v>210</v>
      </c>
      <c r="H371" s="49" t="s">
        <v>210</v>
      </c>
    </row>
    <row r="372" spans="1:9" x14ac:dyDescent="0.3">
      <c r="A372" s="54">
        <v>367</v>
      </c>
      <c r="G372" s="49" t="str">
        <f>"    - number: "&amp;$B$4&amp;"-0-"&amp;I372</f>
        <v xml:space="preserve">    - number: 6-0-147</v>
      </c>
      <c r="H372" s="49" t="str">
        <f>"    - number: "&amp;$B$4&amp;"-0-"&amp;I372</f>
        <v xml:space="preserve">    - number: 6-0-147</v>
      </c>
      <c r="I372" s="56">
        <f>I362+4</f>
        <v>147</v>
      </c>
    </row>
    <row r="373" spans="1:9" x14ac:dyDescent="0.3">
      <c r="A373" s="54">
        <v>368</v>
      </c>
      <c r="G373" t="str">
        <f ca="1">" l_"&amp;OFFSET(B$6,(A376-1)/10,0)&amp;":"</f>
        <v xml:space="preserve"> l_:</v>
      </c>
      <c r="H373" t="str">
        <f ca="1">" l_"&amp;OFFSET(B$6,(A376-1)/10,0)&amp;":"</f>
        <v xml:space="preserve"> l_:</v>
      </c>
    </row>
    <row r="374" spans="1:9" x14ac:dyDescent="0.3">
      <c r="A374" s="54">
        <v>369</v>
      </c>
      <c r="G374" s="49" t="s">
        <v>195</v>
      </c>
      <c r="H374" s="49" t="s">
        <v>195</v>
      </c>
    </row>
    <row r="375" spans="1:9" x14ac:dyDescent="0.3">
      <c r="A375" s="54">
        <v>370</v>
      </c>
      <c r="G375" s="49" t="s">
        <v>198</v>
      </c>
      <c r="H375" s="49" t="s">
        <v>199</v>
      </c>
    </row>
    <row r="376" spans="1:9" x14ac:dyDescent="0.3">
      <c r="A376" s="54">
        <v>371</v>
      </c>
      <c r="G376" s="49" t="str">
        <f>"    - number: "&amp;$B$4&amp;"-0-"&amp;I376</f>
        <v xml:space="preserve">    - number: 6-0-148</v>
      </c>
      <c r="H376" s="49" t="str">
        <f>"    - number: "&amp;$B$4&amp;"-0-"&amp;I376</f>
        <v xml:space="preserve">    - number: 6-0-148</v>
      </c>
      <c r="I376" s="56">
        <f>I366+4</f>
        <v>148</v>
      </c>
    </row>
    <row r="377" spans="1:9" x14ac:dyDescent="0.3">
      <c r="A377" s="54">
        <v>372</v>
      </c>
      <c r="G377" s="49" t="s">
        <v>199</v>
      </c>
      <c r="H377" s="49" t="s">
        <v>198</v>
      </c>
    </row>
    <row r="378" spans="1:9" x14ac:dyDescent="0.3">
      <c r="A378" s="54">
        <v>373</v>
      </c>
      <c r="G378" s="49" t="str">
        <f>"    - number: "&amp;$B$4&amp;"-0-"&amp;I378</f>
        <v xml:space="preserve">    - number: 6-0-149</v>
      </c>
      <c r="H378" s="49" t="str">
        <f>"    - number: "&amp;$B$4&amp;"-0-"&amp;I378</f>
        <v xml:space="preserve">    - number: 6-0-149</v>
      </c>
      <c r="I378" s="56">
        <f>I368+4</f>
        <v>149</v>
      </c>
    </row>
    <row r="379" spans="1:9" x14ac:dyDescent="0.3">
      <c r="A379" s="54">
        <v>374</v>
      </c>
      <c r="G379" s="49" t="s">
        <v>209</v>
      </c>
      <c r="H379" s="49" t="s">
        <v>209</v>
      </c>
    </row>
    <row r="380" spans="1:9" x14ac:dyDescent="0.3">
      <c r="A380" s="54">
        <v>375</v>
      </c>
      <c r="G380" s="49" t="str">
        <f>"    - number: "&amp;$B$4&amp;"-0-"&amp;I380</f>
        <v xml:space="preserve">    - number: 6-0-150</v>
      </c>
      <c r="H380" s="49" t="str">
        <f>"    - number: "&amp;$B$4&amp;"-0-"&amp;I380</f>
        <v xml:space="preserve">    - number: 6-0-150</v>
      </c>
      <c r="I380" s="56">
        <f>I370+4</f>
        <v>150</v>
      </c>
    </row>
    <row r="381" spans="1:9" x14ac:dyDescent="0.3">
      <c r="A381" s="54">
        <v>376</v>
      </c>
      <c r="G381" s="49" t="s">
        <v>210</v>
      </c>
      <c r="H381" s="49" t="s">
        <v>210</v>
      </c>
    </row>
    <row r="382" spans="1:9" x14ac:dyDescent="0.3">
      <c r="A382" s="54">
        <v>377</v>
      </c>
      <c r="G382" s="49" t="str">
        <f>"    - number: "&amp;$B$4&amp;"-0-"&amp;I382</f>
        <v xml:space="preserve">    - number: 6-0-151</v>
      </c>
      <c r="H382" s="49" t="str">
        <f>"    - number: "&amp;$B$4&amp;"-0-"&amp;I382</f>
        <v xml:space="preserve">    - number: 6-0-151</v>
      </c>
      <c r="I382" s="56">
        <f>I372+4</f>
        <v>151</v>
      </c>
    </row>
    <row r="383" spans="1:9" x14ac:dyDescent="0.3">
      <c r="A383" s="54">
        <v>378</v>
      </c>
      <c r="G383" t="str">
        <f ca="1">" l_"&amp;OFFSET(B$6,(A386-1)/10,0)&amp;":"</f>
        <v xml:space="preserve"> l_:</v>
      </c>
      <c r="H383" t="str">
        <f ca="1">" l_"&amp;OFFSET(B$6,(A386-1)/10,0)&amp;":"</f>
        <v xml:space="preserve"> l_:</v>
      </c>
    </row>
    <row r="384" spans="1:9" x14ac:dyDescent="0.3">
      <c r="A384" s="54">
        <v>379</v>
      </c>
      <c r="G384" s="49" t="s">
        <v>195</v>
      </c>
      <c r="H384" s="49" t="s">
        <v>195</v>
      </c>
    </row>
    <row r="385" spans="1:9" x14ac:dyDescent="0.3">
      <c r="A385" s="54">
        <v>380</v>
      </c>
      <c r="G385" s="49" t="s">
        <v>198</v>
      </c>
      <c r="H385" s="49" t="s">
        <v>199</v>
      </c>
    </row>
    <row r="386" spans="1:9" x14ac:dyDescent="0.3">
      <c r="A386" s="54">
        <v>381</v>
      </c>
      <c r="G386" s="49" t="str">
        <f>"    - number: "&amp;$B$4&amp;"-0-"&amp;I386</f>
        <v xml:space="preserve">    - number: 6-0-152</v>
      </c>
      <c r="H386" s="49" t="str">
        <f>"    - number: "&amp;$B$4&amp;"-0-"&amp;I386</f>
        <v xml:space="preserve">    - number: 6-0-152</v>
      </c>
      <c r="I386" s="56">
        <f>I376+4</f>
        <v>152</v>
      </c>
    </row>
    <row r="387" spans="1:9" x14ac:dyDescent="0.3">
      <c r="A387" s="54">
        <v>382</v>
      </c>
      <c r="G387" s="49" t="s">
        <v>199</v>
      </c>
      <c r="H387" s="49" t="s">
        <v>198</v>
      </c>
    </row>
    <row r="388" spans="1:9" x14ac:dyDescent="0.3">
      <c r="A388" s="54">
        <v>383</v>
      </c>
      <c r="G388" s="49" t="str">
        <f>"    - number: "&amp;$B$4&amp;"-0-"&amp;I388</f>
        <v xml:space="preserve">    - number: 6-0-153</v>
      </c>
      <c r="H388" s="49" t="str">
        <f>"    - number: "&amp;$B$4&amp;"-0-"&amp;I388</f>
        <v xml:space="preserve">    - number: 6-0-153</v>
      </c>
      <c r="I388" s="56">
        <f>I378+4</f>
        <v>153</v>
      </c>
    </row>
    <row r="389" spans="1:9" x14ac:dyDescent="0.3">
      <c r="A389" s="54">
        <v>384</v>
      </c>
      <c r="G389" s="49" t="s">
        <v>209</v>
      </c>
      <c r="H389" s="49" t="s">
        <v>209</v>
      </c>
    </row>
    <row r="390" spans="1:9" x14ac:dyDescent="0.3">
      <c r="A390" s="54">
        <v>385</v>
      </c>
      <c r="G390" s="49" t="str">
        <f>"    - number: "&amp;$B$4&amp;"-0-"&amp;I390</f>
        <v xml:space="preserve">    - number: 6-0-154</v>
      </c>
      <c r="H390" s="49" t="str">
        <f>"    - number: "&amp;$B$4&amp;"-0-"&amp;I390</f>
        <v xml:space="preserve">    - number: 6-0-154</v>
      </c>
      <c r="I390" s="56">
        <f>I380+4</f>
        <v>154</v>
      </c>
    </row>
    <row r="391" spans="1:9" x14ac:dyDescent="0.3">
      <c r="A391" s="54">
        <v>386</v>
      </c>
      <c r="G391" s="49" t="s">
        <v>210</v>
      </c>
      <c r="H391" s="49" t="s">
        <v>210</v>
      </c>
    </row>
    <row r="392" spans="1:9" x14ac:dyDescent="0.3">
      <c r="A392" s="54">
        <v>387</v>
      </c>
      <c r="G392" s="49" t="str">
        <f>"    - number: "&amp;$B$4&amp;"-0-"&amp;I392</f>
        <v xml:space="preserve">    - number: 6-0-155</v>
      </c>
      <c r="H392" s="49" t="str">
        <f>"    - number: "&amp;$B$4&amp;"-0-"&amp;I392</f>
        <v xml:space="preserve">    - number: 6-0-155</v>
      </c>
      <c r="I392" s="56">
        <f>I382+4</f>
        <v>155</v>
      </c>
    </row>
    <row r="393" spans="1:9" x14ac:dyDescent="0.3">
      <c r="A393" s="54">
        <v>388</v>
      </c>
      <c r="G393" t="str">
        <f ca="1">" l_"&amp;OFFSET(B$6,(A396-1)/10,0)&amp;":"</f>
        <v xml:space="preserve"> l_:</v>
      </c>
      <c r="H393" t="str">
        <f ca="1">" l_"&amp;OFFSET(B$6,(A396-1)/10,0)&amp;":"</f>
        <v xml:space="preserve"> l_:</v>
      </c>
    </row>
    <row r="394" spans="1:9" x14ac:dyDescent="0.3">
      <c r="A394" s="54">
        <v>389</v>
      </c>
      <c r="G394" s="49" t="s">
        <v>195</v>
      </c>
      <c r="H394" s="49" t="s">
        <v>195</v>
      </c>
    </row>
    <row r="395" spans="1:9" x14ac:dyDescent="0.3">
      <c r="A395" s="54">
        <v>390</v>
      </c>
      <c r="G395" s="49" t="s">
        <v>198</v>
      </c>
      <c r="H395" s="49" t="s">
        <v>199</v>
      </c>
    </row>
    <row r="396" spans="1:9" x14ac:dyDescent="0.3">
      <c r="A396" s="54">
        <v>391</v>
      </c>
      <c r="G396" s="49" t="str">
        <f>"    - number: "&amp;$B$4&amp;"-0-"&amp;I396</f>
        <v xml:space="preserve">    - number: 6-0-156</v>
      </c>
      <c r="H396" s="49" t="str">
        <f>"    - number: "&amp;$B$4&amp;"-0-"&amp;I396</f>
        <v xml:space="preserve">    - number: 6-0-156</v>
      </c>
      <c r="I396" s="56">
        <f>I386+4</f>
        <v>156</v>
      </c>
    </row>
    <row r="397" spans="1:9" x14ac:dyDescent="0.3">
      <c r="A397" s="54">
        <v>392</v>
      </c>
      <c r="G397" s="49" t="s">
        <v>199</v>
      </c>
      <c r="H397" s="49" t="s">
        <v>198</v>
      </c>
    </row>
    <row r="398" spans="1:9" x14ac:dyDescent="0.3">
      <c r="A398" s="54">
        <v>393</v>
      </c>
      <c r="G398" s="49" t="str">
        <f>"    - number: "&amp;$B$4&amp;"-0-"&amp;I398</f>
        <v xml:space="preserve">    - number: 6-0-157</v>
      </c>
      <c r="H398" s="49" t="str">
        <f>"    - number: "&amp;$B$4&amp;"-0-"&amp;I398</f>
        <v xml:space="preserve">    - number: 6-0-157</v>
      </c>
      <c r="I398" s="56">
        <f>I388+4</f>
        <v>157</v>
      </c>
    </row>
    <row r="399" spans="1:9" x14ac:dyDescent="0.3">
      <c r="A399" s="54">
        <v>394</v>
      </c>
      <c r="G399" s="49" t="s">
        <v>209</v>
      </c>
      <c r="H399" s="49" t="s">
        <v>209</v>
      </c>
    </row>
    <row r="400" spans="1:9" x14ac:dyDescent="0.3">
      <c r="A400" s="54">
        <v>395</v>
      </c>
      <c r="G400" s="49" t="str">
        <f>"    - number: "&amp;$B$4&amp;"-0-"&amp;I400</f>
        <v xml:space="preserve">    - number: 6-0-158</v>
      </c>
      <c r="H400" s="49" t="str">
        <f>"    - number: "&amp;$B$4&amp;"-0-"&amp;I400</f>
        <v xml:space="preserve">    - number: 6-0-158</v>
      </c>
      <c r="I400" s="56">
        <f>I390+4</f>
        <v>158</v>
      </c>
    </row>
    <row r="401" spans="1:9" x14ac:dyDescent="0.3">
      <c r="A401" s="54">
        <v>396</v>
      </c>
      <c r="G401" s="49" t="s">
        <v>210</v>
      </c>
      <c r="H401" s="49" t="s">
        <v>210</v>
      </c>
    </row>
    <row r="402" spans="1:9" x14ac:dyDescent="0.3">
      <c r="A402" s="54">
        <v>397</v>
      </c>
      <c r="G402" s="49" t="str">
        <f>"    - number: "&amp;$B$4&amp;"-0-"&amp;I402</f>
        <v xml:space="preserve">    - number: 6-0-159</v>
      </c>
      <c r="H402" s="49" t="str">
        <f>"    - number: "&amp;$B$4&amp;"-0-"&amp;I402</f>
        <v xml:space="preserve">    - number: 6-0-159</v>
      </c>
      <c r="I402" s="56">
        <f>I392+4</f>
        <v>159</v>
      </c>
    </row>
    <row r="403" spans="1:9" x14ac:dyDescent="0.3">
      <c r="A403" s="54">
        <v>398</v>
      </c>
      <c r="G403" t="str">
        <f ca="1">" l_"&amp;OFFSET(B$6,(A406-1)/10,0)&amp;":"</f>
        <v xml:space="preserve"> l_:</v>
      </c>
      <c r="H403" t="str">
        <f ca="1">" l_"&amp;OFFSET(B$6,(A406-1)/10,0)&amp;":"</f>
        <v xml:space="preserve"> l_:</v>
      </c>
    </row>
    <row r="404" spans="1:9" x14ac:dyDescent="0.3">
      <c r="A404" s="54">
        <v>399</v>
      </c>
      <c r="G404" s="49" t="s">
        <v>195</v>
      </c>
      <c r="H404" s="49" t="s">
        <v>195</v>
      </c>
    </row>
    <row r="405" spans="1:9" x14ac:dyDescent="0.3">
      <c r="A405" s="54">
        <v>400</v>
      </c>
      <c r="G405" s="49" t="s">
        <v>198</v>
      </c>
      <c r="H405" s="49" t="s">
        <v>199</v>
      </c>
    </row>
    <row r="406" spans="1:9" x14ac:dyDescent="0.3">
      <c r="A406" s="54">
        <v>401</v>
      </c>
      <c r="G406" s="49" t="str">
        <f>"    - number: "&amp;$B$4&amp;"-0-"&amp;I406</f>
        <v xml:space="preserve">    - number: 6-0-160</v>
      </c>
      <c r="H406" s="49" t="str">
        <f>"    - number: "&amp;$B$4&amp;"-0-"&amp;I406</f>
        <v xml:space="preserve">    - number: 6-0-160</v>
      </c>
      <c r="I406" s="56">
        <f>I396+4</f>
        <v>160</v>
      </c>
    </row>
    <row r="407" spans="1:9" x14ac:dyDescent="0.3">
      <c r="A407" s="54">
        <v>402</v>
      </c>
      <c r="G407" s="49" t="s">
        <v>199</v>
      </c>
      <c r="H407" s="49" t="s">
        <v>198</v>
      </c>
    </row>
    <row r="408" spans="1:9" x14ac:dyDescent="0.3">
      <c r="A408" s="54">
        <v>403</v>
      </c>
      <c r="G408" s="49" t="str">
        <f>"    - number: "&amp;$B$4&amp;"-0-"&amp;I408</f>
        <v xml:space="preserve">    - number: 6-0-161</v>
      </c>
      <c r="H408" s="49" t="str">
        <f>"    - number: "&amp;$B$4&amp;"-0-"&amp;I408</f>
        <v xml:space="preserve">    - number: 6-0-161</v>
      </c>
      <c r="I408" s="56">
        <f>I398+4</f>
        <v>161</v>
      </c>
    </row>
    <row r="409" spans="1:9" x14ac:dyDescent="0.3">
      <c r="A409" s="54">
        <v>404</v>
      </c>
      <c r="G409" s="49" t="s">
        <v>209</v>
      </c>
      <c r="H409" s="49" t="s">
        <v>209</v>
      </c>
    </row>
    <row r="410" spans="1:9" x14ac:dyDescent="0.3">
      <c r="A410" s="54">
        <v>405</v>
      </c>
      <c r="G410" s="49" t="str">
        <f>"    - number: "&amp;$B$4&amp;"-0-"&amp;I410</f>
        <v xml:space="preserve">    - number: 6-0-162</v>
      </c>
      <c r="H410" s="49" t="str">
        <f>"    - number: "&amp;$B$4&amp;"-0-"&amp;I410</f>
        <v xml:space="preserve">    - number: 6-0-162</v>
      </c>
      <c r="I410" s="56">
        <f>I400+4</f>
        <v>162</v>
      </c>
    </row>
    <row r="411" spans="1:9" x14ac:dyDescent="0.3">
      <c r="A411" s="54">
        <v>406</v>
      </c>
      <c r="G411" s="49" t="s">
        <v>210</v>
      </c>
      <c r="H411" s="49" t="s">
        <v>210</v>
      </c>
    </row>
    <row r="412" spans="1:9" x14ac:dyDescent="0.3">
      <c r="A412" s="54">
        <v>407</v>
      </c>
      <c r="G412" s="49" t="str">
        <f>"    - number: "&amp;$B$4&amp;"-0-"&amp;I412</f>
        <v xml:space="preserve">    - number: 6-0-163</v>
      </c>
      <c r="H412" s="49" t="str">
        <f>"    - number: "&amp;$B$4&amp;"-0-"&amp;I412</f>
        <v xml:space="preserve">    - number: 6-0-163</v>
      </c>
      <c r="I412" s="56">
        <f>I402+4</f>
        <v>163</v>
      </c>
    </row>
    <row r="413" spans="1:9" x14ac:dyDescent="0.3">
      <c r="A413" s="54">
        <v>408</v>
      </c>
      <c r="G413" t="str">
        <f ca="1">" l_"&amp;OFFSET(B$6,(A416-1)/10,0)&amp;":"</f>
        <v xml:space="preserve"> l_:</v>
      </c>
      <c r="H413" t="str">
        <f ca="1">" l_"&amp;OFFSET(B$6,(A416-1)/10,0)&amp;":"</f>
        <v xml:space="preserve"> l_:</v>
      </c>
    </row>
    <row r="414" spans="1:9" x14ac:dyDescent="0.3">
      <c r="A414" s="54">
        <v>409</v>
      </c>
      <c r="G414" s="49" t="s">
        <v>195</v>
      </c>
      <c r="H414" s="49" t="s">
        <v>195</v>
      </c>
    </row>
    <row r="415" spans="1:9" x14ac:dyDescent="0.3">
      <c r="A415" s="54">
        <v>410</v>
      </c>
      <c r="G415" s="49" t="s">
        <v>198</v>
      </c>
      <c r="H415" s="49" t="s">
        <v>199</v>
      </c>
    </row>
    <row r="416" spans="1:9" x14ac:dyDescent="0.3">
      <c r="A416" s="54">
        <v>411</v>
      </c>
      <c r="G416" s="49" t="str">
        <f>"    - number: "&amp;$B$4&amp;"-0-"&amp;I416</f>
        <v xml:space="preserve">    - number: 6-0-164</v>
      </c>
      <c r="H416" s="49" t="str">
        <f>"    - number: "&amp;$B$4&amp;"-0-"&amp;I416</f>
        <v xml:space="preserve">    - number: 6-0-164</v>
      </c>
      <c r="I416" s="56">
        <f>I406+4</f>
        <v>164</v>
      </c>
    </row>
    <row r="417" spans="1:9" x14ac:dyDescent="0.3">
      <c r="A417" s="54">
        <v>412</v>
      </c>
      <c r="G417" s="49" t="s">
        <v>199</v>
      </c>
      <c r="H417" s="49" t="s">
        <v>198</v>
      </c>
    </row>
    <row r="418" spans="1:9" x14ac:dyDescent="0.3">
      <c r="A418" s="54">
        <v>413</v>
      </c>
      <c r="G418" s="49" t="str">
        <f>"    - number: "&amp;$B$4&amp;"-0-"&amp;I418</f>
        <v xml:space="preserve">    - number: 6-0-165</v>
      </c>
      <c r="H418" s="49" t="str">
        <f>"    - number: "&amp;$B$4&amp;"-0-"&amp;I418</f>
        <v xml:space="preserve">    - number: 6-0-165</v>
      </c>
      <c r="I418" s="56">
        <f>I408+4</f>
        <v>165</v>
      </c>
    </row>
    <row r="419" spans="1:9" x14ac:dyDescent="0.3">
      <c r="A419" s="54">
        <v>414</v>
      </c>
      <c r="G419" s="49" t="s">
        <v>209</v>
      </c>
      <c r="H419" s="49" t="s">
        <v>209</v>
      </c>
    </row>
    <row r="420" spans="1:9" x14ac:dyDescent="0.3">
      <c r="A420" s="54">
        <v>415</v>
      </c>
      <c r="G420" s="49" t="str">
        <f>"    - number: "&amp;$B$4&amp;"-0-"&amp;I420</f>
        <v xml:space="preserve">    - number: 6-0-166</v>
      </c>
      <c r="H420" s="49" t="str">
        <f>"    - number: "&amp;$B$4&amp;"-0-"&amp;I420</f>
        <v xml:space="preserve">    - number: 6-0-166</v>
      </c>
      <c r="I420" s="56">
        <f>I410+4</f>
        <v>166</v>
      </c>
    </row>
    <row r="421" spans="1:9" x14ac:dyDescent="0.3">
      <c r="A421" s="54">
        <v>416</v>
      </c>
      <c r="G421" s="49" t="s">
        <v>210</v>
      </c>
      <c r="H421" s="49" t="s">
        <v>210</v>
      </c>
    </row>
    <row r="422" spans="1:9" x14ac:dyDescent="0.3">
      <c r="A422" s="54">
        <v>417</v>
      </c>
      <c r="G422" s="49" t="str">
        <f>"    - number: "&amp;$B$4&amp;"-0-"&amp;I422</f>
        <v xml:space="preserve">    - number: 6-0-167</v>
      </c>
      <c r="H422" s="49" t="str">
        <f>"    - number: "&amp;$B$4&amp;"-0-"&amp;I422</f>
        <v xml:space="preserve">    - number: 6-0-167</v>
      </c>
      <c r="I422" s="56">
        <f>I412+4</f>
        <v>167</v>
      </c>
    </row>
    <row r="423" spans="1:9" x14ac:dyDescent="0.3">
      <c r="A423" s="54">
        <v>418</v>
      </c>
      <c r="G423" t="str">
        <f ca="1">" l_"&amp;OFFSET(B$6,(A426-1)/10,0)&amp;":"</f>
        <v xml:space="preserve"> l_:</v>
      </c>
      <c r="H423" t="str">
        <f ca="1">" l_"&amp;OFFSET(B$6,(A426-1)/10,0)&amp;":"</f>
        <v xml:space="preserve"> l_:</v>
      </c>
    </row>
    <row r="424" spans="1:9" x14ac:dyDescent="0.3">
      <c r="A424" s="54">
        <v>419</v>
      </c>
      <c r="G424" s="49" t="s">
        <v>195</v>
      </c>
      <c r="H424" s="49" t="s">
        <v>195</v>
      </c>
    </row>
    <row r="425" spans="1:9" x14ac:dyDescent="0.3">
      <c r="A425" s="54">
        <v>420</v>
      </c>
      <c r="G425" s="49" t="s">
        <v>198</v>
      </c>
      <c r="H425" s="49" t="s">
        <v>199</v>
      </c>
    </row>
    <row r="426" spans="1:9" x14ac:dyDescent="0.3">
      <c r="A426" s="54">
        <v>421</v>
      </c>
      <c r="G426" s="49" t="str">
        <f>"    - number: "&amp;$B$4&amp;"-0-"&amp;I426</f>
        <v xml:space="preserve">    - number: 6-0-168</v>
      </c>
      <c r="H426" s="49" t="str">
        <f>"    - number: "&amp;$B$4&amp;"-0-"&amp;I426</f>
        <v xml:space="preserve">    - number: 6-0-168</v>
      </c>
      <c r="I426" s="56">
        <f>I416+4</f>
        <v>168</v>
      </c>
    </row>
    <row r="427" spans="1:9" x14ac:dyDescent="0.3">
      <c r="A427" s="54">
        <v>422</v>
      </c>
      <c r="G427" s="49" t="s">
        <v>199</v>
      </c>
      <c r="H427" s="49" t="s">
        <v>198</v>
      </c>
    </row>
    <row r="428" spans="1:9" x14ac:dyDescent="0.3">
      <c r="A428" s="54">
        <v>423</v>
      </c>
      <c r="G428" s="49" t="str">
        <f>"    - number: "&amp;$B$4&amp;"-0-"&amp;I428</f>
        <v xml:space="preserve">    - number: 6-0-169</v>
      </c>
      <c r="H428" s="49" t="str">
        <f>"    - number: "&amp;$B$4&amp;"-0-"&amp;I428</f>
        <v xml:space="preserve">    - number: 6-0-169</v>
      </c>
      <c r="I428" s="56">
        <f>I418+4</f>
        <v>169</v>
      </c>
    </row>
    <row r="429" spans="1:9" x14ac:dyDescent="0.3">
      <c r="A429" s="54">
        <v>424</v>
      </c>
      <c r="G429" s="49" t="s">
        <v>209</v>
      </c>
      <c r="H429" s="49" t="s">
        <v>209</v>
      </c>
    </row>
    <row r="430" spans="1:9" x14ac:dyDescent="0.3">
      <c r="A430" s="54">
        <v>425</v>
      </c>
      <c r="G430" s="49" t="str">
        <f>"    - number: "&amp;$B$4&amp;"-0-"&amp;I430</f>
        <v xml:space="preserve">    - number: 6-0-170</v>
      </c>
      <c r="H430" s="49" t="str">
        <f>"    - number: "&amp;$B$4&amp;"-0-"&amp;I430</f>
        <v xml:space="preserve">    - number: 6-0-170</v>
      </c>
      <c r="I430" s="56">
        <f>I420+4</f>
        <v>170</v>
      </c>
    </row>
    <row r="431" spans="1:9" x14ac:dyDescent="0.3">
      <c r="A431" s="54">
        <v>426</v>
      </c>
      <c r="G431" s="49" t="s">
        <v>210</v>
      </c>
      <c r="H431" s="49" t="s">
        <v>210</v>
      </c>
    </row>
    <row r="432" spans="1:9" x14ac:dyDescent="0.3">
      <c r="A432" s="54">
        <v>427</v>
      </c>
      <c r="G432" s="49" t="str">
        <f>"    - number: "&amp;$B$4&amp;"-0-"&amp;I432</f>
        <v xml:space="preserve">    - number: 6-0-171</v>
      </c>
      <c r="H432" s="49" t="str">
        <f>"    - number: "&amp;$B$4&amp;"-0-"&amp;I432</f>
        <v xml:space="preserve">    - number: 6-0-171</v>
      </c>
      <c r="I432" s="56">
        <f>I422+4</f>
        <v>171</v>
      </c>
    </row>
    <row r="433" spans="1:9" x14ac:dyDescent="0.3">
      <c r="A433" s="54">
        <v>428</v>
      </c>
      <c r="G433" t="str">
        <f ca="1">" l_"&amp;OFFSET(B$6,(A436-1)/10,0)&amp;":"</f>
        <v xml:space="preserve"> l_:</v>
      </c>
      <c r="H433" t="str">
        <f ca="1">" l_"&amp;OFFSET(B$6,(A436-1)/10,0)&amp;":"</f>
        <v xml:space="preserve"> l_:</v>
      </c>
    </row>
    <row r="434" spans="1:9" x14ac:dyDescent="0.3">
      <c r="A434" s="54">
        <v>429</v>
      </c>
      <c r="G434" s="49" t="s">
        <v>195</v>
      </c>
      <c r="H434" s="49" t="s">
        <v>195</v>
      </c>
    </row>
    <row r="435" spans="1:9" x14ac:dyDescent="0.3">
      <c r="A435" s="54">
        <v>430</v>
      </c>
      <c r="G435" s="49" t="s">
        <v>198</v>
      </c>
      <c r="H435" s="49" t="s">
        <v>199</v>
      </c>
    </row>
    <row r="436" spans="1:9" x14ac:dyDescent="0.3">
      <c r="A436" s="54">
        <v>431</v>
      </c>
      <c r="G436" s="49" t="str">
        <f>"    - number: "&amp;$B$4&amp;"-0-"&amp;I436</f>
        <v xml:space="preserve">    - number: 6-0-172</v>
      </c>
      <c r="H436" s="49" t="str">
        <f>"    - number: "&amp;$B$4&amp;"-0-"&amp;I436</f>
        <v xml:space="preserve">    - number: 6-0-172</v>
      </c>
      <c r="I436" s="56">
        <f>I426+4</f>
        <v>172</v>
      </c>
    </row>
    <row r="437" spans="1:9" x14ac:dyDescent="0.3">
      <c r="A437" s="54">
        <v>432</v>
      </c>
      <c r="G437" s="49" t="s">
        <v>199</v>
      </c>
      <c r="H437" s="49" t="s">
        <v>198</v>
      </c>
    </row>
    <row r="438" spans="1:9" x14ac:dyDescent="0.3">
      <c r="A438" s="54">
        <v>433</v>
      </c>
      <c r="G438" s="49" t="str">
        <f>"    - number: "&amp;$B$4&amp;"-0-"&amp;I438</f>
        <v xml:space="preserve">    - number: 6-0-173</v>
      </c>
      <c r="H438" s="49" t="str">
        <f>"    - number: "&amp;$B$4&amp;"-0-"&amp;I438</f>
        <v xml:space="preserve">    - number: 6-0-173</v>
      </c>
      <c r="I438" s="56">
        <f>I428+4</f>
        <v>173</v>
      </c>
    </row>
    <row r="439" spans="1:9" x14ac:dyDescent="0.3">
      <c r="A439" s="54">
        <v>434</v>
      </c>
      <c r="G439" s="49" t="s">
        <v>209</v>
      </c>
      <c r="H439" s="49" t="s">
        <v>209</v>
      </c>
    </row>
    <row r="440" spans="1:9" x14ac:dyDescent="0.3">
      <c r="A440" s="54">
        <v>435</v>
      </c>
      <c r="G440" s="49" t="str">
        <f>"    - number: "&amp;$B$4&amp;"-0-"&amp;I440</f>
        <v xml:space="preserve">    - number: 6-0-174</v>
      </c>
      <c r="H440" s="49" t="str">
        <f>"    - number: "&amp;$B$4&amp;"-0-"&amp;I440</f>
        <v xml:space="preserve">    - number: 6-0-174</v>
      </c>
      <c r="I440" s="56">
        <f>I430+4</f>
        <v>174</v>
      </c>
    </row>
    <row r="441" spans="1:9" x14ac:dyDescent="0.3">
      <c r="A441" s="54">
        <v>436</v>
      </c>
      <c r="G441" s="49" t="s">
        <v>210</v>
      </c>
      <c r="H441" s="49" t="s">
        <v>210</v>
      </c>
    </row>
    <row r="442" spans="1:9" x14ac:dyDescent="0.3">
      <c r="A442" s="54">
        <v>437</v>
      </c>
      <c r="G442" s="49" t="str">
        <f>"    - number: "&amp;$B$4&amp;"-0-"&amp;I442</f>
        <v xml:space="preserve">    - number: 6-0-175</v>
      </c>
      <c r="H442" s="49" t="str">
        <f>"    - number: "&amp;$B$4&amp;"-0-"&amp;I442</f>
        <v xml:space="preserve">    - number: 6-0-175</v>
      </c>
      <c r="I442" s="56">
        <f>I432+4</f>
        <v>175</v>
      </c>
    </row>
    <row r="443" spans="1:9" x14ac:dyDescent="0.3">
      <c r="A443" s="54">
        <v>438</v>
      </c>
      <c r="G443" t="str">
        <f ca="1">" l_"&amp;OFFSET(B$6,(A446-1)/10,0)&amp;":"</f>
        <v xml:space="preserve"> l_:</v>
      </c>
      <c r="H443" t="str">
        <f ca="1">" l_"&amp;OFFSET(B$6,(A446-1)/10,0)&amp;":"</f>
        <v xml:space="preserve"> l_:</v>
      </c>
    </row>
    <row r="444" spans="1:9" x14ac:dyDescent="0.3">
      <c r="A444" s="54">
        <v>439</v>
      </c>
      <c r="G444" s="49" t="s">
        <v>195</v>
      </c>
      <c r="H444" s="49" t="s">
        <v>195</v>
      </c>
    </row>
    <row r="445" spans="1:9" x14ac:dyDescent="0.3">
      <c r="A445" s="54">
        <v>440</v>
      </c>
      <c r="G445" s="49" t="s">
        <v>198</v>
      </c>
      <c r="H445" s="49" t="s">
        <v>199</v>
      </c>
    </row>
    <row r="446" spans="1:9" x14ac:dyDescent="0.3">
      <c r="A446" s="54">
        <v>441</v>
      </c>
      <c r="G446" s="49" t="str">
        <f>"    - number: "&amp;$B$4&amp;"-0-"&amp;I446</f>
        <v xml:space="preserve">    - number: 6-0-176</v>
      </c>
      <c r="H446" s="49" t="str">
        <f>"    - number: "&amp;$B$4&amp;"-0-"&amp;I446</f>
        <v xml:space="preserve">    - number: 6-0-176</v>
      </c>
      <c r="I446" s="56">
        <f>I436+4</f>
        <v>176</v>
      </c>
    </row>
    <row r="447" spans="1:9" x14ac:dyDescent="0.3">
      <c r="A447" s="54">
        <v>442</v>
      </c>
      <c r="G447" s="49" t="s">
        <v>199</v>
      </c>
      <c r="H447" s="49" t="s">
        <v>198</v>
      </c>
    </row>
    <row r="448" spans="1:9" x14ac:dyDescent="0.3">
      <c r="A448" s="54">
        <v>443</v>
      </c>
      <c r="G448" s="49" t="str">
        <f>"    - number: "&amp;$B$4&amp;"-0-"&amp;I448</f>
        <v xml:space="preserve">    - number: 6-0-177</v>
      </c>
      <c r="H448" s="49" t="str">
        <f>"    - number: "&amp;$B$4&amp;"-0-"&amp;I448</f>
        <v xml:space="preserve">    - number: 6-0-177</v>
      </c>
      <c r="I448" s="56">
        <f>I438+4</f>
        <v>177</v>
      </c>
    </row>
    <row r="449" spans="1:9" x14ac:dyDescent="0.3">
      <c r="A449" s="54">
        <v>444</v>
      </c>
      <c r="G449" s="49" t="s">
        <v>209</v>
      </c>
      <c r="H449" s="49" t="s">
        <v>209</v>
      </c>
    </row>
    <row r="450" spans="1:9" x14ac:dyDescent="0.3">
      <c r="A450" s="54">
        <v>445</v>
      </c>
      <c r="G450" s="49" t="str">
        <f>"    - number: "&amp;$B$4&amp;"-0-"&amp;I450</f>
        <v xml:space="preserve">    - number: 6-0-178</v>
      </c>
      <c r="H450" s="49" t="str">
        <f>"    - number: "&amp;$B$4&amp;"-0-"&amp;I450</f>
        <v xml:space="preserve">    - number: 6-0-178</v>
      </c>
      <c r="I450" s="56">
        <f>I440+4</f>
        <v>178</v>
      </c>
    </row>
    <row r="451" spans="1:9" x14ac:dyDescent="0.3">
      <c r="A451" s="54">
        <v>446</v>
      </c>
      <c r="G451" s="49" t="s">
        <v>210</v>
      </c>
      <c r="H451" s="49" t="s">
        <v>210</v>
      </c>
    </row>
    <row r="452" spans="1:9" x14ac:dyDescent="0.3">
      <c r="A452" s="54">
        <v>447</v>
      </c>
      <c r="G452" s="49" t="str">
        <f>"    - number: "&amp;$B$4&amp;"-0-"&amp;I452</f>
        <v xml:space="preserve">    - number: 6-0-179</v>
      </c>
      <c r="H452" s="49" t="str">
        <f>"    - number: "&amp;$B$4&amp;"-0-"&amp;I452</f>
        <v xml:space="preserve">    - number: 6-0-179</v>
      </c>
      <c r="I452" s="56">
        <f>I442+4</f>
        <v>179</v>
      </c>
    </row>
    <row r="453" spans="1:9" x14ac:dyDescent="0.3">
      <c r="A453" s="54">
        <v>448</v>
      </c>
      <c r="G453" t="str">
        <f ca="1">" l_"&amp;OFFSET(B$6,(A456-1)/10,0)&amp;":"</f>
        <v xml:space="preserve"> l_:</v>
      </c>
      <c r="H453" t="str">
        <f ca="1">" l_"&amp;OFFSET(B$6,(A456-1)/10,0)&amp;":"</f>
        <v xml:space="preserve"> l_:</v>
      </c>
    </row>
    <row r="454" spans="1:9" x14ac:dyDescent="0.3">
      <c r="A454" s="54">
        <v>449</v>
      </c>
      <c r="G454" s="49" t="s">
        <v>195</v>
      </c>
      <c r="H454" s="49" t="s">
        <v>195</v>
      </c>
    </row>
    <row r="455" spans="1:9" x14ac:dyDescent="0.3">
      <c r="A455" s="54">
        <v>450</v>
      </c>
      <c r="G455" s="49" t="s">
        <v>198</v>
      </c>
      <c r="H455" s="49" t="s">
        <v>199</v>
      </c>
    </row>
    <row r="456" spans="1:9" x14ac:dyDescent="0.3">
      <c r="A456" s="54">
        <v>451</v>
      </c>
      <c r="G456" s="49" t="str">
        <f>"    - number: "&amp;$B$4&amp;"-0-"&amp;I456</f>
        <v xml:space="preserve">    - number: 6-0-180</v>
      </c>
      <c r="H456" s="49" t="str">
        <f>"    - number: "&amp;$B$4&amp;"-0-"&amp;I456</f>
        <v xml:space="preserve">    - number: 6-0-180</v>
      </c>
      <c r="I456" s="56">
        <f>I446+4</f>
        <v>180</v>
      </c>
    </row>
    <row r="457" spans="1:9" x14ac:dyDescent="0.3">
      <c r="A457" s="54">
        <v>452</v>
      </c>
      <c r="G457" s="49" t="s">
        <v>199</v>
      </c>
      <c r="H457" s="49" t="s">
        <v>198</v>
      </c>
    </row>
    <row r="458" spans="1:9" x14ac:dyDescent="0.3">
      <c r="A458" s="54">
        <v>453</v>
      </c>
      <c r="G458" s="49" t="str">
        <f>"    - number: "&amp;$B$4&amp;"-0-"&amp;I458</f>
        <v xml:space="preserve">    - number: 6-0-181</v>
      </c>
      <c r="H458" s="49" t="str">
        <f>"    - number: "&amp;$B$4&amp;"-0-"&amp;I458</f>
        <v xml:space="preserve">    - number: 6-0-181</v>
      </c>
      <c r="I458" s="56">
        <f>I448+4</f>
        <v>181</v>
      </c>
    </row>
    <row r="459" spans="1:9" x14ac:dyDescent="0.3">
      <c r="A459" s="54">
        <v>454</v>
      </c>
      <c r="G459" s="49" t="s">
        <v>209</v>
      </c>
      <c r="H459" s="49" t="s">
        <v>209</v>
      </c>
    </row>
    <row r="460" spans="1:9" x14ac:dyDescent="0.3">
      <c r="A460" s="54">
        <v>455</v>
      </c>
      <c r="G460" s="49" t="str">
        <f>"    - number: "&amp;$B$4&amp;"-0-"&amp;I460</f>
        <v xml:space="preserve">    - number: 6-0-182</v>
      </c>
      <c r="H460" s="49" t="str">
        <f>"    - number: "&amp;$B$4&amp;"-0-"&amp;I460</f>
        <v xml:space="preserve">    - number: 6-0-182</v>
      </c>
      <c r="I460" s="56">
        <f>I450+4</f>
        <v>182</v>
      </c>
    </row>
    <row r="461" spans="1:9" x14ac:dyDescent="0.3">
      <c r="A461" s="54">
        <v>456</v>
      </c>
      <c r="G461" s="49" t="s">
        <v>210</v>
      </c>
      <c r="H461" s="49" t="s">
        <v>210</v>
      </c>
    </row>
    <row r="462" spans="1:9" x14ac:dyDescent="0.3">
      <c r="A462" s="54">
        <v>457</v>
      </c>
      <c r="G462" s="49" t="str">
        <f>"    - number: "&amp;$B$4&amp;"-0-"&amp;I462</f>
        <v xml:space="preserve">    - number: 6-0-183</v>
      </c>
      <c r="H462" s="49" t="str">
        <f>"    - number: "&amp;$B$4&amp;"-0-"&amp;I462</f>
        <v xml:space="preserve">    - number: 6-0-183</v>
      </c>
      <c r="I462" s="56">
        <f>I452+4</f>
        <v>183</v>
      </c>
    </row>
    <row r="463" spans="1:9" x14ac:dyDescent="0.3">
      <c r="A463" s="54">
        <v>458</v>
      </c>
      <c r="G463" t="str">
        <f ca="1">" l_"&amp;OFFSET(B$6,(A466-1)/10,0)&amp;":"</f>
        <v xml:space="preserve"> l_:</v>
      </c>
      <c r="H463" t="str">
        <f ca="1">" l_"&amp;OFFSET(B$6,(A466-1)/10,0)&amp;":"</f>
        <v xml:space="preserve"> l_:</v>
      </c>
    </row>
    <row r="464" spans="1:9" x14ac:dyDescent="0.3">
      <c r="A464" s="54">
        <v>459</v>
      </c>
      <c r="G464" s="49" t="s">
        <v>195</v>
      </c>
      <c r="H464" s="49" t="s">
        <v>195</v>
      </c>
    </row>
    <row r="465" spans="1:9" x14ac:dyDescent="0.3">
      <c r="A465" s="54">
        <v>460</v>
      </c>
      <c r="G465" s="49" t="s">
        <v>198</v>
      </c>
      <c r="H465" s="49" t="s">
        <v>199</v>
      </c>
    </row>
    <row r="466" spans="1:9" x14ac:dyDescent="0.3">
      <c r="A466" s="54">
        <v>461</v>
      </c>
      <c r="G466" s="49" t="str">
        <f>"    - number: "&amp;$B$4&amp;"-0-"&amp;I466</f>
        <v xml:space="preserve">    - number: 6-0-184</v>
      </c>
      <c r="H466" s="49" t="str">
        <f>"    - number: "&amp;$B$4&amp;"-0-"&amp;I466</f>
        <v xml:space="preserve">    - number: 6-0-184</v>
      </c>
      <c r="I466" s="56">
        <f>I456+4</f>
        <v>184</v>
      </c>
    </row>
    <row r="467" spans="1:9" x14ac:dyDescent="0.3">
      <c r="A467" s="54">
        <v>462</v>
      </c>
      <c r="G467" s="49" t="s">
        <v>199</v>
      </c>
      <c r="H467" s="49" t="s">
        <v>198</v>
      </c>
    </row>
    <row r="468" spans="1:9" x14ac:dyDescent="0.3">
      <c r="A468" s="54">
        <v>463</v>
      </c>
      <c r="G468" s="49" t="str">
        <f>"    - number: "&amp;$B$4&amp;"-0-"&amp;I468</f>
        <v xml:space="preserve">    - number: 6-0-185</v>
      </c>
      <c r="H468" s="49" t="str">
        <f>"    - number: "&amp;$B$4&amp;"-0-"&amp;I468</f>
        <v xml:space="preserve">    - number: 6-0-185</v>
      </c>
      <c r="I468" s="56">
        <f>I458+4</f>
        <v>185</v>
      </c>
    </row>
    <row r="469" spans="1:9" x14ac:dyDescent="0.3">
      <c r="A469" s="54">
        <v>464</v>
      </c>
      <c r="G469" s="49" t="s">
        <v>209</v>
      </c>
      <c r="H469" s="49" t="s">
        <v>209</v>
      </c>
    </row>
    <row r="470" spans="1:9" x14ac:dyDescent="0.3">
      <c r="A470" s="54">
        <v>465</v>
      </c>
      <c r="G470" s="49" t="str">
        <f>"    - number: "&amp;$B$4&amp;"-0-"&amp;I470</f>
        <v xml:space="preserve">    - number: 6-0-186</v>
      </c>
      <c r="H470" s="49" t="str">
        <f>"    - number: "&amp;$B$4&amp;"-0-"&amp;I470</f>
        <v xml:space="preserve">    - number: 6-0-186</v>
      </c>
      <c r="I470" s="56">
        <f>I460+4</f>
        <v>186</v>
      </c>
    </row>
    <row r="471" spans="1:9" x14ac:dyDescent="0.3">
      <c r="A471" s="54">
        <v>466</v>
      </c>
      <c r="G471" s="49" t="s">
        <v>210</v>
      </c>
      <c r="H471" s="49" t="s">
        <v>210</v>
      </c>
    </row>
    <row r="472" spans="1:9" x14ac:dyDescent="0.3">
      <c r="A472" s="54">
        <v>467</v>
      </c>
      <c r="G472" s="49" t="str">
        <f>"    - number: "&amp;$B$4&amp;"-0-"&amp;I472</f>
        <v xml:space="preserve">    - number: 6-0-187</v>
      </c>
      <c r="H472" s="49" t="str">
        <f>"    - number: "&amp;$B$4&amp;"-0-"&amp;I472</f>
        <v xml:space="preserve">    - number: 6-0-187</v>
      </c>
      <c r="I472" s="56">
        <f>I462+4</f>
        <v>187</v>
      </c>
    </row>
    <row r="473" spans="1:9" x14ac:dyDescent="0.3">
      <c r="A473" s="54">
        <v>468</v>
      </c>
      <c r="G473" t="str">
        <f ca="1">" l_"&amp;OFFSET(B$6,(A476-1)/10,0)&amp;":"</f>
        <v xml:space="preserve"> l_:</v>
      </c>
      <c r="H473" t="str">
        <f ca="1">" l_"&amp;OFFSET(B$6,(A476-1)/10,0)&amp;":"</f>
        <v xml:space="preserve"> l_:</v>
      </c>
    </row>
    <row r="474" spans="1:9" x14ac:dyDescent="0.3">
      <c r="A474" s="54">
        <v>469</v>
      </c>
      <c r="G474" s="49" t="s">
        <v>195</v>
      </c>
      <c r="H474" s="49" t="s">
        <v>195</v>
      </c>
    </row>
    <row r="475" spans="1:9" x14ac:dyDescent="0.3">
      <c r="A475" s="54">
        <v>470</v>
      </c>
      <c r="G475" s="49" t="s">
        <v>198</v>
      </c>
      <c r="H475" s="49" t="s">
        <v>199</v>
      </c>
    </row>
    <row r="476" spans="1:9" x14ac:dyDescent="0.3">
      <c r="A476" s="54">
        <v>471</v>
      </c>
      <c r="G476" s="49" t="str">
        <f>"    - number: "&amp;$B$4&amp;"-0-"&amp;I476</f>
        <v xml:space="preserve">    - number: 6-0-188</v>
      </c>
      <c r="H476" s="49" t="str">
        <f>"    - number: "&amp;$B$4&amp;"-0-"&amp;I476</f>
        <v xml:space="preserve">    - number: 6-0-188</v>
      </c>
      <c r="I476" s="56">
        <f>I466+4</f>
        <v>188</v>
      </c>
    </row>
    <row r="477" spans="1:9" x14ac:dyDescent="0.3">
      <c r="A477" s="54">
        <v>472</v>
      </c>
      <c r="G477" s="49" t="s">
        <v>199</v>
      </c>
      <c r="H477" s="49" t="s">
        <v>198</v>
      </c>
    </row>
    <row r="478" spans="1:9" x14ac:dyDescent="0.3">
      <c r="A478" s="54">
        <v>473</v>
      </c>
      <c r="G478" s="49" t="str">
        <f>"    - number: "&amp;$B$4&amp;"-0-"&amp;I478</f>
        <v xml:space="preserve">    - number: 6-0-189</v>
      </c>
      <c r="H478" s="49" t="str">
        <f>"    - number: "&amp;$B$4&amp;"-0-"&amp;I478</f>
        <v xml:space="preserve">    - number: 6-0-189</v>
      </c>
      <c r="I478" s="56">
        <f>I468+4</f>
        <v>189</v>
      </c>
    </row>
    <row r="479" spans="1:9" x14ac:dyDescent="0.3">
      <c r="A479" s="54">
        <v>474</v>
      </c>
      <c r="G479" s="49" t="s">
        <v>209</v>
      </c>
      <c r="H479" s="49" t="s">
        <v>209</v>
      </c>
    </row>
    <row r="480" spans="1:9" x14ac:dyDescent="0.3">
      <c r="A480" s="54">
        <v>475</v>
      </c>
      <c r="G480" s="49" t="str">
        <f>"    - number: "&amp;$B$4&amp;"-0-"&amp;I480</f>
        <v xml:space="preserve">    - number: 6-0-190</v>
      </c>
      <c r="H480" s="49" t="str">
        <f>"    - number: "&amp;$B$4&amp;"-0-"&amp;I480</f>
        <v xml:space="preserve">    - number: 6-0-190</v>
      </c>
      <c r="I480" s="56">
        <f>I470+4</f>
        <v>190</v>
      </c>
    </row>
    <row r="481" spans="1:9" x14ac:dyDescent="0.3">
      <c r="A481" s="54">
        <v>476</v>
      </c>
      <c r="G481" s="49" t="s">
        <v>210</v>
      </c>
      <c r="H481" s="49" t="s">
        <v>210</v>
      </c>
    </row>
    <row r="482" spans="1:9" x14ac:dyDescent="0.3">
      <c r="A482" s="54">
        <v>477</v>
      </c>
      <c r="G482" s="49" t="str">
        <f>"    - number: "&amp;$B$4&amp;"-0-"&amp;I482</f>
        <v xml:space="preserve">    - number: 6-0-191</v>
      </c>
      <c r="H482" s="49" t="str">
        <f>"    - number: "&amp;$B$4&amp;"-0-"&amp;I482</f>
        <v xml:space="preserve">    - number: 6-0-191</v>
      </c>
      <c r="I482" s="56">
        <f>I472+4</f>
        <v>191</v>
      </c>
    </row>
    <row r="483" spans="1:9" x14ac:dyDescent="0.3">
      <c r="A483" s="54">
        <v>478</v>
      </c>
      <c r="G483" t="str">
        <f ca="1">" l_"&amp;OFFSET(B$6,(A486-1)/10,0)&amp;":"</f>
        <v xml:space="preserve"> l_:</v>
      </c>
      <c r="H483" t="str">
        <f ca="1">" l_"&amp;OFFSET(B$6,(A486-1)/10,0)&amp;":"</f>
        <v xml:space="preserve"> l_:</v>
      </c>
    </row>
    <row r="484" spans="1:9" x14ac:dyDescent="0.3">
      <c r="A484" s="54">
        <v>479</v>
      </c>
      <c r="G484" s="49" t="s">
        <v>195</v>
      </c>
      <c r="H484" s="49" t="s">
        <v>195</v>
      </c>
    </row>
    <row r="485" spans="1:9" x14ac:dyDescent="0.3">
      <c r="A485" s="54">
        <v>480</v>
      </c>
      <c r="G485" s="49" t="s">
        <v>198</v>
      </c>
      <c r="H485" s="49" t="s">
        <v>199</v>
      </c>
    </row>
    <row r="486" spans="1:9" x14ac:dyDescent="0.3">
      <c r="A486" s="54">
        <v>481</v>
      </c>
      <c r="G486" s="49" t="str">
        <f>"    - number: "&amp;$B$4&amp;"-0-"&amp;I486</f>
        <v xml:space="preserve">    - number: 6-0-192</v>
      </c>
      <c r="H486" s="49" t="str">
        <f>"    - number: "&amp;$B$4&amp;"-0-"&amp;I486</f>
        <v xml:space="preserve">    - number: 6-0-192</v>
      </c>
      <c r="I486" s="56">
        <f>I476+4</f>
        <v>192</v>
      </c>
    </row>
    <row r="487" spans="1:9" x14ac:dyDescent="0.3">
      <c r="A487" s="54">
        <v>482</v>
      </c>
      <c r="G487" s="49" t="s">
        <v>199</v>
      </c>
      <c r="H487" s="49" t="s">
        <v>198</v>
      </c>
    </row>
    <row r="488" spans="1:9" x14ac:dyDescent="0.3">
      <c r="A488" s="54">
        <v>483</v>
      </c>
      <c r="G488" s="49" t="str">
        <f>"    - number: "&amp;$B$4&amp;"-0-"&amp;I488</f>
        <v xml:space="preserve">    - number: 6-0-193</v>
      </c>
      <c r="H488" s="49" t="str">
        <f>"    - number: "&amp;$B$4&amp;"-0-"&amp;I488</f>
        <v xml:space="preserve">    - number: 6-0-193</v>
      </c>
      <c r="I488" s="56">
        <f>I478+4</f>
        <v>193</v>
      </c>
    </row>
    <row r="489" spans="1:9" x14ac:dyDescent="0.3">
      <c r="A489" s="54">
        <v>484</v>
      </c>
      <c r="G489" s="49" t="s">
        <v>209</v>
      </c>
      <c r="H489" s="49" t="s">
        <v>209</v>
      </c>
    </row>
    <row r="490" spans="1:9" x14ac:dyDescent="0.3">
      <c r="A490" s="54">
        <v>485</v>
      </c>
      <c r="G490" s="49" t="str">
        <f>"    - number: "&amp;$B$4&amp;"-0-"&amp;I490</f>
        <v xml:space="preserve">    - number: 6-0-194</v>
      </c>
      <c r="H490" s="49" t="str">
        <f>"    - number: "&amp;$B$4&amp;"-0-"&amp;I490</f>
        <v xml:space="preserve">    - number: 6-0-194</v>
      </c>
      <c r="I490" s="56">
        <f>I480+4</f>
        <v>194</v>
      </c>
    </row>
    <row r="491" spans="1:9" x14ac:dyDescent="0.3">
      <c r="A491" s="54">
        <v>486</v>
      </c>
      <c r="G491" s="49" t="s">
        <v>210</v>
      </c>
      <c r="H491" s="49" t="s">
        <v>210</v>
      </c>
    </row>
    <row r="492" spans="1:9" x14ac:dyDescent="0.3">
      <c r="A492" s="54">
        <v>487</v>
      </c>
      <c r="G492" s="49" t="str">
        <f>"    - number: "&amp;$B$4&amp;"-0-"&amp;I492</f>
        <v xml:space="preserve">    - number: 6-0-195</v>
      </c>
      <c r="H492" s="49" t="str">
        <f>"    - number: "&amp;$B$4&amp;"-0-"&amp;I492</f>
        <v xml:space="preserve">    - number: 6-0-195</v>
      </c>
      <c r="I492" s="56">
        <f>I482+4</f>
        <v>195</v>
      </c>
    </row>
    <row r="493" spans="1:9" x14ac:dyDescent="0.3">
      <c r="A493" s="54">
        <v>488</v>
      </c>
      <c r="G493" t="str">
        <f ca="1">" l_"&amp;OFFSET(B$6,(A496-1)/10,0)&amp;":"</f>
        <v xml:space="preserve"> l_:</v>
      </c>
      <c r="H493" t="str">
        <f ca="1">" l_"&amp;OFFSET(B$6,(A496-1)/10,0)&amp;":"</f>
        <v xml:space="preserve"> l_:</v>
      </c>
    </row>
    <row r="494" spans="1:9" x14ac:dyDescent="0.3">
      <c r="A494" s="54">
        <v>489</v>
      </c>
      <c r="G494" s="49" t="s">
        <v>195</v>
      </c>
      <c r="H494" s="49" t="s">
        <v>195</v>
      </c>
    </row>
    <row r="495" spans="1:9" x14ac:dyDescent="0.3">
      <c r="A495" s="54">
        <v>490</v>
      </c>
      <c r="G495" s="49" t="s">
        <v>198</v>
      </c>
      <c r="H495" s="49" t="s">
        <v>199</v>
      </c>
    </row>
    <row r="496" spans="1:9" x14ac:dyDescent="0.3">
      <c r="A496" s="54">
        <v>491</v>
      </c>
      <c r="G496" s="49" t="str">
        <f>"    - number: "&amp;$B$4&amp;"-0-"&amp;I496</f>
        <v xml:space="preserve">    - number: 6-0-196</v>
      </c>
      <c r="H496" s="49" t="str">
        <f>"    - number: "&amp;$B$4&amp;"-0-"&amp;I496</f>
        <v xml:space="preserve">    - number: 6-0-196</v>
      </c>
      <c r="I496" s="56">
        <f>I486+4</f>
        <v>196</v>
      </c>
    </row>
    <row r="497" spans="1:9" x14ac:dyDescent="0.3">
      <c r="A497" s="54">
        <v>492</v>
      </c>
      <c r="G497" s="49" t="s">
        <v>199</v>
      </c>
      <c r="H497" s="49" t="s">
        <v>198</v>
      </c>
    </row>
    <row r="498" spans="1:9" x14ac:dyDescent="0.3">
      <c r="A498" s="54">
        <v>493</v>
      </c>
      <c r="G498" s="49" t="str">
        <f>"    - number: "&amp;$B$4&amp;"-0-"&amp;I498</f>
        <v xml:space="preserve">    - number: 6-0-197</v>
      </c>
      <c r="H498" s="49" t="str">
        <f>"    - number: "&amp;$B$4&amp;"-0-"&amp;I498</f>
        <v xml:space="preserve">    - number: 6-0-197</v>
      </c>
      <c r="I498" s="56">
        <f>I488+4</f>
        <v>197</v>
      </c>
    </row>
    <row r="499" spans="1:9" x14ac:dyDescent="0.3">
      <c r="A499" s="54">
        <v>494</v>
      </c>
      <c r="G499" s="49" t="s">
        <v>209</v>
      </c>
      <c r="H499" s="49" t="s">
        <v>209</v>
      </c>
    </row>
    <row r="500" spans="1:9" x14ac:dyDescent="0.3">
      <c r="A500" s="54">
        <v>495</v>
      </c>
      <c r="G500" s="49" t="str">
        <f>"    - number: "&amp;$B$4&amp;"-0-"&amp;I500</f>
        <v xml:space="preserve">    - number: 6-0-198</v>
      </c>
      <c r="H500" s="49" t="str">
        <f>"    - number: "&amp;$B$4&amp;"-0-"&amp;I500</f>
        <v xml:space="preserve">    - number: 6-0-198</v>
      </c>
      <c r="I500" s="56">
        <f>I490+4</f>
        <v>198</v>
      </c>
    </row>
    <row r="501" spans="1:9" x14ac:dyDescent="0.3">
      <c r="A501" s="54">
        <v>496</v>
      </c>
      <c r="G501" s="49" t="s">
        <v>210</v>
      </c>
      <c r="H501" s="49" t="s">
        <v>210</v>
      </c>
    </row>
    <row r="502" spans="1:9" x14ac:dyDescent="0.3">
      <c r="A502" s="11"/>
      <c r="G502" s="49" t="str">
        <f>"    - number: "&amp;$B$4&amp;"-0-"&amp;I502</f>
        <v xml:space="preserve">    - number: 6-0-199</v>
      </c>
      <c r="H502" s="49" t="str">
        <f>"    - number: "&amp;$B$4&amp;"-0-"&amp;I502</f>
        <v xml:space="preserve">    - number: 6-0-199</v>
      </c>
      <c r="I502" s="56">
        <f>I492+4</f>
        <v>199</v>
      </c>
    </row>
    <row r="503" spans="1:9" x14ac:dyDescent="0.3">
      <c r="A503" s="11"/>
    </row>
    <row r="504" spans="1:9" x14ac:dyDescent="0.3">
      <c r="A504" s="11"/>
      <c r="G504" s="49"/>
      <c r="H504" s="49"/>
    </row>
    <row r="505" spans="1:9" x14ac:dyDescent="0.3">
      <c r="A505" s="11"/>
      <c r="G505" s="49"/>
      <c r="H505" s="49"/>
    </row>
    <row r="506" spans="1:9" x14ac:dyDescent="0.3">
      <c r="A506" s="11"/>
      <c r="G506" s="49"/>
      <c r="H506" s="49"/>
    </row>
    <row r="507" spans="1:9" x14ac:dyDescent="0.3">
      <c r="A507" s="11"/>
      <c r="G507" s="49"/>
      <c r="H507" s="49"/>
    </row>
    <row r="508" spans="1:9" x14ac:dyDescent="0.3">
      <c r="A508" s="11"/>
      <c r="G508" s="49"/>
      <c r="H508" s="49"/>
    </row>
    <row r="509" spans="1:9" x14ac:dyDescent="0.3">
      <c r="A509" s="11"/>
      <c r="G509" s="49"/>
      <c r="H509" s="49"/>
    </row>
    <row r="510" spans="1:9" x14ac:dyDescent="0.3">
      <c r="A510" s="11"/>
      <c r="G510" s="49"/>
      <c r="H510" s="49"/>
    </row>
    <row r="511" spans="1:9" x14ac:dyDescent="0.3">
      <c r="A511" s="11"/>
      <c r="G511" s="49"/>
      <c r="H511" s="49"/>
    </row>
    <row r="512" spans="1:9" x14ac:dyDescent="0.3">
      <c r="A512" s="11"/>
      <c r="G512" s="49"/>
      <c r="H512" s="49"/>
    </row>
    <row r="513" spans="1:8" x14ac:dyDescent="0.3">
      <c r="A513" s="11"/>
    </row>
    <row r="514" spans="1:8" x14ac:dyDescent="0.3">
      <c r="A514" s="11"/>
      <c r="G514" s="49"/>
      <c r="H514" s="49"/>
    </row>
    <row r="515" spans="1:8" x14ac:dyDescent="0.3">
      <c r="A515" s="11"/>
      <c r="G515" s="49"/>
      <c r="H515" s="49"/>
    </row>
    <row r="516" spans="1:8" x14ac:dyDescent="0.3">
      <c r="A516" s="11"/>
      <c r="G516" s="49"/>
      <c r="H516" s="49"/>
    </row>
    <row r="517" spans="1:8" x14ac:dyDescent="0.3">
      <c r="A517" s="11"/>
      <c r="G517" s="49"/>
      <c r="H517" s="49"/>
    </row>
    <row r="518" spans="1:8" x14ac:dyDescent="0.3">
      <c r="A518" s="11"/>
      <c r="G518" s="49"/>
      <c r="H518" s="49"/>
    </row>
    <row r="519" spans="1:8" x14ac:dyDescent="0.3">
      <c r="A519" s="11"/>
      <c r="G519" s="49"/>
      <c r="H519" s="49"/>
    </row>
    <row r="520" spans="1:8" x14ac:dyDescent="0.3">
      <c r="A520" s="11"/>
      <c r="G520" s="49"/>
      <c r="H520" s="49"/>
    </row>
    <row r="521" spans="1:8" x14ac:dyDescent="0.3">
      <c r="A521" s="11"/>
      <c r="G521" s="49"/>
      <c r="H521" s="49"/>
    </row>
    <row r="522" spans="1:8" x14ac:dyDescent="0.3">
      <c r="A522" s="11"/>
      <c r="G522" s="49"/>
      <c r="H522" s="49"/>
    </row>
    <row r="523" spans="1:8" x14ac:dyDescent="0.3">
      <c r="A523" s="11"/>
    </row>
    <row r="524" spans="1:8" x14ac:dyDescent="0.3">
      <c r="A524" s="11"/>
      <c r="G524" s="49"/>
      <c r="H524" s="49"/>
    </row>
    <row r="525" spans="1:8" x14ac:dyDescent="0.3">
      <c r="A525" s="11"/>
      <c r="G525" s="49"/>
      <c r="H525" s="49"/>
    </row>
    <row r="526" spans="1:8" x14ac:dyDescent="0.3">
      <c r="A526" s="11"/>
      <c r="G526" s="49"/>
      <c r="H526" s="49"/>
    </row>
    <row r="527" spans="1:8" x14ac:dyDescent="0.3">
      <c r="A527" s="11"/>
      <c r="G527" s="49"/>
      <c r="H527" s="49"/>
    </row>
    <row r="528" spans="1:8" x14ac:dyDescent="0.3">
      <c r="A528" s="11"/>
      <c r="G528" s="49"/>
      <c r="H528" s="49"/>
    </row>
    <row r="529" spans="1:8" x14ac:dyDescent="0.3">
      <c r="A529" s="11"/>
      <c r="G529" s="49"/>
      <c r="H529" s="49"/>
    </row>
    <row r="530" spans="1:8" x14ac:dyDescent="0.3">
      <c r="A530" s="11"/>
      <c r="G530" s="49"/>
      <c r="H530" s="49"/>
    </row>
    <row r="531" spans="1:8" x14ac:dyDescent="0.3">
      <c r="A531" s="11"/>
      <c r="G531" s="49"/>
      <c r="H531" s="49"/>
    </row>
    <row r="532" spans="1:8" x14ac:dyDescent="0.3">
      <c r="A532" s="11"/>
      <c r="G532" s="49"/>
      <c r="H532" s="49"/>
    </row>
    <row r="533" spans="1:8" x14ac:dyDescent="0.3">
      <c r="A533" s="11"/>
    </row>
    <row r="534" spans="1:8" x14ac:dyDescent="0.3">
      <c r="A534" s="11"/>
      <c r="G534" s="49"/>
      <c r="H534" s="49"/>
    </row>
    <row r="535" spans="1:8" x14ac:dyDescent="0.3">
      <c r="A535" s="11"/>
      <c r="G535" s="49"/>
      <c r="H535" s="49"/>
    </row>
    <row r="536" spans="1:8" x14ac:dyDescent="0.3">
      <c r="A536" s="11"/>
      <c r="G536" s="49"/>
      <c r="H536" s="49"/>
    </row>
    <row r="537" spans="1:8" x14ac:dyDescent="0.3">
      <c r="A537" s="11"/>
      <c r="G537" s="49"/>
      <c r="H537" s="49"/>
    </row>
    <row r="538" spans="1:8" x14ac:dyDescent="0.3">
      <c r="A538" s="11"/>
      <c r="G538" s="49"/>
      <c r="H538" s="49"/>
    </row>
    <row r="539" spans="1:8" x14ac:dyDescent="0.3">
      <c r="A539" s="11"/>
      <c r="G539" s="49"/>
      <c r="H539" s="49"/>
    </row>
    <row r="540" spans="1:8" x14ac:dyDescent="0.3">
      <c r="A540" s="11"/>
      <c r="G540" s="49"/>
      <c r="H540" s="49"/>
    </row>
    <row r="541" spans="1:8" x14ac:dyDescent="0.3">
      <c r="A541" s="11"/>
      <c r="G541" s="49"/>
      <c r="H541" s="49"/>
    </row>
    <row r="542" spans="1:8" x14ac:dyDescent="0.3">
      <c r="A542" s="11"/>
      <c r="G542" s="49"/>
      <c r="H542" s="49"/>
    </row>
    <row r="543" spans="1:8" x14ac:dyDescent="0.3">
      <c r="A543" s="11"/>
    </row>
    <row r="544" spans="1:8" x14ac:dyDescent="0.3">
      <c r="A544" s="11"/>
      <c r="G544" s="49"/>
      <c r="H544" s="49"/>
    </row>
    <row r="545" spans="1:8" x14ac:dyDescent="0.3">
      <c r="A545" s="11"/>
      <c r="G545" s="49"/>
      <c r="H545" s="49"/>
    </row>
    <row r="546" spans="1:8" x14ac:dyDescent="0.3">
      <c r="A546" s="11"/>
      <c r="G546" s="49"/>
      <c r="H546" s="49"/>
    </row>
    <row r="547" spans="1:8" x14ac:dyDescent="0.3">
      <c r="A547" s="11"/>
      <c r="G547" s="49"/>
      <c r="H547" s="49"/>
    </row>
    <row r="548" spans="1:8" x14ac:dyDescent="0.3">
      <c r="A548" s="11"/>
      <c r="G548" s="49"/>
      <c r="H548" s="49"/>
    </row>
    <row r="549" spans="1:8" x14ac:dyDescent="0.3">
      <c r="A549" s="11"/>
      <c r="G549" s="49"/>
      <c r="H549" s="49"/>
    </row>
    <row r="550" spans="1:8" x14ac:dyDescent="0.3">
      <c r="A550" s="11"/>
      <c r="G550" s="49"/>
      <c r="H550" s="49"/>
    </row>
    <row r="551" spans="1:8" x14ac:dyDescent="0.3">
      <c r="A551" s="11"/>
      <c r="G551" s="49"/>
      <c r="H551" s="49"/>
    </row>
    <row r="552" spans="1:8" x14ac:dyDescent="0.3">
      <c r="A552" s="11"/>
      <c r="G552" s="49"/>
      <c r="H552" s="49"/>
    </row>
    <row r="553" spans="1:8" x14ac:dyDescent="0.3">
      <c r="A553" s="11"/>
    </row>
    <row r="554" spans="1:8" x14ac:dyDescent="0.3">
      <c r="A554" s="11"/>
      <c r="G554" s="49"/>
      <c r="H554" s="49"/>
    </row>
    <row r="555" spans="1:8" x14ac:dyDescent="0.3">
      <c r="A555" s="11"/>
      <c r="G555" s="49"/>
      <c r="H555" s="49"/>
    </row>
    <row r="556" spans="1:8" x14ac:dyDescent="0.3">
      <c r="A556" s="11"/>
      <c r="G556" s="49"/>
      <c r="H556" s="49"/>
    </row>
    <row r="557" spans="1:8" x14ac:dyDescent="0.3">
      <c r="A557" s="11"/>
      <c r="G557" s="49"/>
      <c r="H557" s="49"/>
    </row>
    <row r="558" spans="1:8" x14ac:dyDescent="0.3">
      <c r="A558" s="11"/>
      <c r="G558" s="49"/>
      <c r="H558" s="49"/>
    </row>
    <row r="559" spans="1:8" x14ac:dyDescent="0.3">
      <c r="A559" s="11"/>
      <c r="G559" s="49"/>
      <c r="H559" s="49"/>
    </row>
    <row r="560" spans="1:8" x14ac:dyDescent="0.3">
      <c r="A560" s="11"/>
      <c r="G560" s="49"/>
      <c r="H560" s="49"/>
    </row>
    <row r="561" spans="1:8" x14ac:dyDescent="0.3">
      <c r="A561" s="11"/>
      <c r="G561" s="49"/>
      <c r="H561" s="49"/>
    </row>
    <row r="562" spans="1:8" x14ac:dyDescent="0.3">
      <c r="A562" s="11"/>
      <c r="G562" s="49"/>
      <c r="H562" s="49"/>
    </row>
    <row r="563" spans="1:8" x14ac:dyDescent="0.3">
      <c r="A563" s="11"/>
    </row>
    <row r="564" spans="1:8" x14ac:dyDescent="0.3">
      <c r="A564" s="11"/>
      <c r="G564" s="49"/>
      <c r="H564" s="49"/>
    </row>
    <row r="565" spans="1:8" x14ac:dyDescent="0.3">
      <c r="A565" s="11"/>
      <c r="G565" s="49"/>
      <c r="H565" s="49"/>
    </row>
    <row r="566" spans="1:8" x14ac:dyDescent="0.3">
      <c r="A566" s="11"/>
      <c r="G566" s="49"/>
      <c r="H566" s="49"/>
    </row>
    <row r="567" spans="1:8" x14ac:dyDescent="0.3">
      <c r="A567" s="11"/>
      <c r="G567" s="49"/>
      <c r="H567" s="49"/>
    </row>
    <row r="568" spans="1:8" x14ac:dyDescent="0.3">
      <c r="A568" s="11"/>
      <c r="G568" s="49"/>
      <c r="H568" s="49"/>
    </row>
    <row r="569" spans="1:8" x14ac:dyDescent="0.3">
      <c r="A569" s="11"/>
      <c r="G569" s="49"/>
      <c r="H569" s="49"/>
    </row>
    <row r="570" spans="1:8" x14ac:dyDescent="0.3">
      <c r="A570" s="11"/>
      <c r="G570" s="49"/>
      <c r="H570" s="49"/>
    </row>
    <row r="571" spans="1:8" x14ac:dyDescent="0.3">
      <c r="A571" s="11"/>
      <c r="G571" s="49"/>
      <c r="H571" s="49"/>
    </row>
    <row r="572" spans="1:8" x14ac:dyDescent="0.3">
      <c r="A572" s="11"/>
      <c r="G572" s="49"/>
      <c r="H572" s="49"/>
    </row>
    <row r="573" spans="1:8" x14ac:dyDescent="0.3">
      <c r="A573" s="11"/>
    </row>
    <row r="574" spans="1:8" x14ac:dyDescent="0.3">
      <c r="A574" s="11"/>
      <c r="G574" s="49"/>
      <c r="H574" s="49"/>
    </row>
    <row r="575" spans="1:8" x14ac:dyDescent="0.3">
      <c r="A575" s="11"/>
      <c r="G575" s="49"/>
      <c r="H575" s="49"/>
    </row>
    <row r="576" spans="1:8" x14ac:dyDescent="0.3">
      <c r="A576" s="11"/>
      <c r="G576" s="49"/>
      <c r="H576" s="49"/>
    </row>
    <row r="577" spans="1:8" x14ac:dyDescent="0.3">
      <c r="A577" s="11"/>
      <c r="G577" s="49"/>
      <c r="H577" s="49"/>
    </row>
    <row r="578" spans="1:8" x14ac:dyDescent="0.3">
      <c r="A578" s="11"/>
      <c r="G578" s="49"/>
      <c r="H578" s="49"/>
    </row>
    <row r="579" spans="1:8" x14ac:dyDescent="0.3">
      <c r="A579" s="11"/>
      <c r="G579" s="49"/>
      <c r="H579" s="49"/>
    </row>
    <row r="580" spans="1:8" x14ac:dyDescent="0.3">
      <c r="A580" s="11"/>
      <c r="G580" s="49"/>
      <c r="H580" s="49"/>
    </row>
    <row r="581" spans="1:8" x14ac:dyDescent="0.3">
      <c r="A581" s="11"/>
      <c r="G581" s="49"/>
      <c r="H581" s="49"/>
    </row>
    <row r="582" spans="1:8" x14ac:dyDescent="0.3">
      <c r="A582" s="11"/>
      <c r="G582" s="49"/>
      <c r="H582" s="49"/>
    </row>
    <row r="583" spans="1:8" x14ac:dyDescent="0.3">
      <c r="A583" s="11"/>
    </row>
    <row r="584" spans="1:8" x14ac:dyDescent="0.3">
      <c r="A584" s="11"/>
      <c r="G584" s="49"/>
      <c r="H584" s="49"/>
    </row>
    <row r="585" spans="1:8" x14ac:dyDescent="0.3">
      <c r="A585" s="11"/>
      <c r="G585" s="49"/>
      <c r="H585" s="49"/>
    </row>
    <row r="586" spans="1:8" x14ac:dyDescent="0.3">
      <c r="A586" s="11"/>
      <c r="G586" s="49"/>
      <c r="H586" s="49"/>
    </row>
    <row r="587" spans="1:8" x14ac:dyDescent="0.3">
      <c r="A587" s="11"/>
      <c r="G587" s="49"/>
      <c r="H587" s="49"/>
    </row>
    <row r="588" spans="1:8" x14ac:dyDescent="0.3">
      <c r="G588" s="49"/>
      <c r="H588" s="49"/>
    </row>
  </sheetData>
  <sortState xmlns:xlrd2="http://schemas.microsoft.com/office/spreadsheetml/2017/richdata2" ref="B7:B15">
    <sortCondition descending="1" ref="B7:B15"/>
  </sortState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CE54B8-A956-45A5-9476-5F61CE7A69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</vt:i4>
      </vt:variant>
    </vt:vector>
  </HeadingPairs>
  <TitlesOfParts>
    <vt:vector size="16" baseType="lpstr">
      <vt:lpstr>Instructions</vt:lpstr>
      <vt:lpstr>Summary for wiring</vt:lpstr>
      <vt:lpstr>STM-card (1)</vt:lpstr>
      <vt:lpstr>STM-card (2)</vt:lpstr>
      <vt:lpstr>STM-card (3)</vt:lpstr>
      <vt:lpstr>STM-card (4)</vt:lpstr>
      <vt:lpstr>STM-card (5)</vt:lpstr>
      <vt:lpstr>STM-card (6)</vt:lpstr>
      <vt:lpstr>STM-card (7)</vt:lpstr>
      <vt:lpstr>STM-card (8)</vt:lpstr>
      <vt:lpstr>switches list</vt:lpstr>
      <vt:lpstr>coil list</vt:lpstr>
      <vt:lpstr>incandescent list</vt:lpstr>
      <vt:lpstr>LEDS list</vt:lpstr>
      <vt:lpstr>'Summary for wiring'!Impression_des_titres</vt:lpstr>
      <vt:lpstr>'Summary for wiring'!Zone_d_impression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Benoit Petit-Demouliere</dc:creator>
  <cp:lastModifiedBy>Benoit PETIT-DEMOULIERE</cp:lastModifiedBy>
  <cp:lastPrinted>2020-05-12T12:19:44Z</cp:lastPrinted>
  <dcterms:created xsi:type="dcterms:W3CDTF">2020-05-09T08:41:32Z</dcterms:created>
  <dcterms:modified xsi:type="dcterms:W3CDTF">2022-07-31T15:11:11Z</dcterms:modified>
</cp:coreProperties>
</file>